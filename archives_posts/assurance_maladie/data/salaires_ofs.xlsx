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elal\Documents\GitHub\celalguney\posts\assurance_maladie\data\"/>
    </mc:Choice>
  </mc:AlternateContent>
  <xr:revisionPtr revIDLastSave="0" documentId="13_ncr:1_{9751C23D-6B8F-49E9-9D04-24C4FF341D8C}" xr6:coauthVersionLast="47" xr6:coauthVersionMax="47" xr10:uidLastSave="{00000000-0000-0000-0000-000000000000}"/>
  <bookViews>
    <workbookView xWindow="-83" yWindow="0" windowWidth="27390" windowHeight="15563" activeTab="3" xr2:uid="{00000000-000D-0000-FFFF-FFFF00000000}"/>
  </bookViews>
  <sheets>
    <sheet name="2010-2024" sheetId="4" r:id="rId1"/>
    <sheet name="1976-2009" sheetId="2" r:id="rId2"/>
    <sheet name="1942-1975" sheetId="1" r:id="rId3"/>
    <sheet name="Graphique1" sheetId="6" r:id="rId4"/>
    <sheet name="Feuil1" sheetId="5" r:id="rId5"/>
  </sheets>
  <definedNames>
    <definedName name="_xlnm.Print_Area" localSheetId="0">'2010-2024'!$A$1:$O$32</definedName>
  </definedNames>
  <calcPr calcId="191029" concurrentCalc="0"/>
</workbook>
</file>

<file path=xl/calcChain.xml><?xml version="1.0" encoding="utf-8"?>
<calcChain xmlns="http://schemas.openxmlformats.org/spreadsheetml/2006/main">
  <c r="N60" i="5" l="1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59" i="5"/>
</calcChain>
</file>

<file path=xl/sharedStrings.xml><?xml version="1.0" encoding="utf-8"?>
<sst xmlns="http://schemas.openxmlformats.org/spreadsheetml/2006/main" count="202" uniqueCount="131">
  <si>
    <t xml:space="preserve"> Année</t>
  </si>
  <si>
    <t xml:space="preserve"> 1) Jusqu'en 1993: à partir des résultats de l'enquête d'octobre sur les salaires et traitements. Dès 1994: à partir des données fournies par le Service</t>
  </si>
  <si>
    <t xml:space="preserve">     de centralisation des statistiques de l'assurance-accidents (SSAA).</t>
  </si>
  <si>
    <t>Hommes</t>
  </si>
  <si>
    <t>Femmes</t>
  </si>
  <si>
    <t xml:space="preserve"> Total</t>
  </si>
  <si>
    <t xml:space="preserve">-   </t>
  </si>
  <si>
    <t xml:space="preserve">  1939</t>
  </si>
  <si>
    <t xml:space="preserve">  1943</t>
  </si>
  <si>
    <t xml:space="preserve">  1944</t>
  </si>
  <si>
    <t xml:space="preserve">  1945</t>
  </si>
  <si>
    <t xml:space="preserve">  1946</t>
  </si>
  <si>
    <t xml:space="preserve">  1947</t>
  </si>
  <si>
    <t xml:space="preserve">  1948</t>
  </si>
  <si>
    <t xml:space="preserve">  1949</t>
  </si>
  <si>
    <t xml:space="preserve">  1950</t>
  </si>
  <si>
    <t xml:space="preserve">  1951</t>
  </si>
  <si>
    <t xml:space="preserve">  1952</t>
  </si>
  <si>
    <t xml:space="preserve">  1953</t>
  </si>
  <si>
    <t xml:space="preserve">  1954</t>
  </si>
  <si>
    <t xml:space="preserve">  1955</t>
  </si>
  <si>
    <t xml:space="preserve">  1956</t>
  </si>
  <si>
    <t xml:space="preserve">  1957</t>
  </si>
  <si>
    <t xml:space="preserve">  1958</t>
  </si>
  <si>
    <t xml:space="preserve">  1959</t>
  </si>
  <si>
    <t xml:space="preserve">  1960</t>
  </si>
  <si>
    <t xml:space="preserve">  1961</t>
  </si>
  <si>
    <t xml:space="preserve">  1962</t>
  </si>
  <si>
    <t xml:space="preserve">  1963</t>
  </si>
  <si>
    <t xml:space="preserve">  1964</t>
  </si>
  <si>
    <t xml:space="preserve">  1965</t>
  </si>
  <si>
    <t xml:space="preserve">  1966</t>
  </si>
  <si>
    <t xml:space="preserve">  1967</t>
  </si>
  <si>
    <t xml:space="preserve">  1968</t>
  </si>
  <si>
    <t xml:space="preserve">  1969</t>
  </si>
  <si>
    <t xml:space="preserve">  1970</t>
  </si>
  <si>
    <t xml:space="preserve">  1971</t>
  </si>
  <si>
    <t xml:space="preserve">  1972</t>
  </si>
  <si>
    <t xml:space="preserve">  1973</t>
  </si>
  <si>
    <t xml:space="preserve">  1974</t>
  </si>
  <si>
    <t xml:space="preserve">  1975</t>
  </si>
  <si>
    <t xml:space="preserve">  1976</t>
  </si>
  <si>
    <t xml:space="preserve">  1977</t>
  </si>
  <si>
    <t xml:space="preserve">  1978</t>
  </si>
  <si>
    <t xml:space="preserve">  1979</t>
  </si>
  <si>
    <t xml:space="preserve">  1980  </t>
  </si>
  <si>
    <t xml:space="preserve">  1981</t>
  </si>
  <si>
    <t xml:space="preserve">  1982</t>
  </si>
  <si>
    <t xml:space="preserve">  1983</t>
  </si>
  <si>
    <t xml:space="preserve">  1984</t>
  </si>
  <si>
    <t xml:space="preserve">  1985</t>
  </si>
  <si>
    <t xml:space="preserve">  1986</t>
  </si>
  <si>
    <t xml:space="preserve">  1987</t>
  </si>
  <si>
    <t xml:space="preserve">  1988</t>
  </si>
  <si>
    <t xml:space="preserve">  1989</t>
  </si>
  <si>
    <t xml:space="preserve">  1990</t>
  </si>
  <si>
    <t xml:space="preserve">  1991</t>
  </si>
  <si>
    <t xml:space="preserve">  1992</t>
  </si>
  <si>
    <t xml:space="preserve">  1993</t>
  </si>
  <si>
    <t xml:space="preserve">  1994</t>
  </si>
  <si>
    <t xml:space="preserve">  1995</t>
  </si>
  <si>
    <t xml:space="preserve">  1996</t>
  </si>
  <si>
    <t xml:space="preserve">  1997</t>
  </si>
  <si>
    <t xml:space="preserve">  1998</t>
  </si>
  <si>
    <t xml:space="preserve">  1999</t>
  </si>
  <si>
    <t xml:space="preserve">  2000</t>
  </si>
  <si>
    <t xml:space="preserve">  2001</t>
  </si>
  <si>
    <t xml:space="preserve">  2002</t>
  </si>
  <si>
    <t xml:space="preserve">  2003</t>
  </si>
  <si>
    <t xml:space="preserve">  2004</t>
  </si>
  <si>
    <t xml:space="preserve">  2005</t>
  </si>
  <si>
    <t xml:space="preserve">  1941</t>
  </si>
  <si>
    <t xml:space="preserve">  1940</t>
  </si>
  <si>
    <t xml:space="preserve">  1942</t>
  </si>
  <si>
    <t xml:space="preserve"> Variation par rapport
  à l'année précédente</t>
  </si>
  <si>
    <t>Indice
 (base 1939 = 100)</t>
  </si>
  <si>
    <t xml:space="preserve"> Salaires réels</t>
  </si>
  <si>
    <t>Variation par
rapport à l'année
précédente</t>
  </si>
  <si>
    <t xml:space="preserve"> Prix à la</t>
  </si>
  <si>
    <t xml:space="preserve"> 2) Jusqu'en 1993: indice des prix à la consommation au mois d'octobre. Dès 1994: variation annuelle moyenne en %</t>
  </si>
  <si>
    <t xml:space="preserve"> 3) 1939-1942: variation annuelle moyenne en %</t>
  </si>
  <si>
    <t xml:space="preserve">  2006</t>
  </si>
  <si>
    <r>
      <t xml:space="preserve"> Salaires nominaux</t>
    </r>
    <r>
      <rPr>
        <vertAlign val="superscript"/>
        <sz val="8"/>
        <rFont val="Arial Narrow"/>
        <family val="2"/>
      </rPr>
      <t>1)</t>
    </r>
  </si>
  <si>
    <r>
      <t xml:space="preserve"> consommation </t>
    </r>
    <r>
      <rPr>
        <vertAlign val="superscript"/>
        <sz val="8"/>
        <rFont val="Arial Narrow"/>
        <family val="2"/>
      </rPr>
      <t>2)</t>
    </r>
  </si>
  <si>
    <r>
      <t>7.8</t>
    </r>
    <r>
      <rPr>
        <vertAlign val="superscript"/>
        <sz val="8"/>
        <rFont val="Arial Narrow"/>
        <family val="2"/>
      </rPr>
      <t>3)</t>
    </r>
  </si>
  <si>
    <r>
      <t xml:space="preserve">              12.8</t>
    </r>
    <r>
      <rPr>
        <vertAlign val="superscript"/>
        <sz val="8"/>
        <rFont val="Arial Narrow"/>
        <family val="2"/>
      </rPr>
      <t xml:space="preserve">3) </t>
    </r>
  </si>
  <si>
    <r>
      <t>-4.5</t>
    </r>
    <r>
      <rPr>
        <vertAlign val="superscript"/>
        <sz val="8"/>
        <rFont val="Arial Narrow"/>
        <family val="2"/>
      </rPr>
      <t>3)</t>
    </r>
  </si>
  <si>
    <t>Source: Office fédéral de la statistique, Indice suisse des salaires, Indice des prix à la consommation</t>
  </si>
  <si>
    <t xml:space="preserve">  2007</t>
  </si>
  <si>
    <t xml:space="preserve">  2008</t>
  </si>
  <si>
    <t xml:space="preserve">  2009</t>
  </si>
  <si>
    <t>2012</t>
  </si>
  <si>
    <t>2013</t>
  </si>
  <si>
    <t>Renseignements: Section des salaires et des conditions de travail, 058 463 64 29, lohn@bfs.admin.ch</t>
  </si>
  <si>
    <t>© OFS - Encyclopédie statistique de la Suisse</t>
  </si>
  <si>
    <t>2014</t>
  </si>
  <si>
    <t>2015</t>
  </si>
  <si>
    <t>2017</t>
  </si>
  <si>
    <t>T39 Evolution des salaires nominaux, des prix à la consommation et des salaires réels, 1976-2009 (2/3)</t>
  </si>
  <si>
    <t>T 39  Evolution des salaires nominaux, des prix à la consommation et des salaires réels, 1942-1975 (1/3)</t>
  </si>
  <si>
    <t>T39</t>
  </si>
  <si>
    <t xml:space="preserve"> 2010</t>
  </si>
  <si>
    <t xml:space="preserve"> 2011</t>
  </si>
  <si>
    <t>2016</t>
  </si>
  <si>
    <t>2018</t>
  </si>
  <si>
    <t>2019</t>
  </si>
  <si>
    <t xml:space="preserve">Renseignements: Office fédéral de la statistique (OFS), Section Salaires et conditions de travail, lohn@bfs.admin.ch, Tél. 058 463 64 29 </t>
  </si>
  <si>
    <t>Source: OFS - Indice suisse des salaires, Indice des prix à la consommation</t>
  </si>
  <si>
    <r>
      <t xml:space="preserve"> Salaires nominaux</t>
    </r>
    <r>
      <rPr>
        <vertAlign val="superscript"/>
        <sz val="8"/>
        <rFont val="Arial"/>
        <family val="2"/>
      </rPr>
      <t>1)</t>
    </r>
  </si>
  <si>
    <r>
      <t xml:space="preserve"> consommation </t>
    </r>
    <r>
      <rPr>
        <vertAlign val="superscript"/>
        <sz val="8"/>
        <rFont val="Arial"/>
        <family val="2"/>
      </rPr>
      <t>2)</t>
    </r>
  </si>
  <si>
    <t>2020</t>
  </si>
  <si>
    <t>2021</t>
  </si>
  <si>
    <t xml:space="preserve"> 1) Jusqu'en 1993: à partir des résultats de l'enquête d'octobre sur les salaires et traitements. Dès 1994: à partir des données fournies </t>
  </si>
  <si>
    <t xml:space="preserve">     par le Service de centralisation des statistiques de l'assurance-accidents (SSAA).</t>
  </si>
  <si>
    <t>Evolution des salaires nominaux, des prix à la consommation et des salaires réels, 2010-2024 (3/3)</t>
  </si>
  <si>
    <t>© OFS 2025</t>
  </si>
  <si>
    <t>Year</t>
  </si>
  <si>
    <t>Indice_salaire_reel</t>
  </si>
  <si>
    <t>indice_salaire_nominal</t>
  </si>
  <si>
    <t>cout_prestation_sante_hab</t>
  </si>
  <si>
    <t>cout_prest_sante</t>
  </si>
  <si>
    <t>cout_pres_sante_pib</t>
  </si>
  <si>
    <t>ipam_total</t>
  </si>
  <si>
    <t>ipam_base</t>
  </si>
  <si>
    <t>ipam_compl</t>
  </si>
  <si>
    <t>Influence de l'évolution des primes sur la croissance de revenu disponible (subventions incl.)</t>
  </si>
  <si>
    <t xml:space="preserve"> </t>
  </si>
  <si>
    <t>salaire_reel100</t>
  </si>
  <si>
    <t>salaire_nominal100</t>
  </si>
  <si>
    <t>pib_reel_chain2020</t>
  </si>
  <si>
    <t>pib_reel_100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</si>
</sst>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\ ##0\ \ "/>
    <numFmt numFmtId="165" formatCode="General\ \ "/>
    <numFmt numFmtId="166" formatCode="#\ ##0.0\ \ \ "/>
    <numFmt numFmtId="167" formatCode="#\ ##0.0\ \ "/>
    <numFmt numFmtId="168" formatCode="0.0"/>
    <numFmt numFmtId="169" formatCode="#\ ##0.0\ \ \ \ \ \ \ \ "/>
    <numFmt numFmtId="170" formatCode="###\ ##0.0\ \ "/>
    <numFmt numFmtId="171" formatCode="0.0000"/>
  </numFmts>
  <fonts count="15" x14ac:knownFonts="1">
    <font>
      <sz val="10"/>
      <name val="Arial"/>
    </font>
    <font>
      <sz val="10"/>
      <name val="Helvetica"/>
    </font>
    <font>
      <sz val="12"/>
      <name val="Times New Roman"/>
      <family val="1"/>
    </font>
    <font>
      <sz val="8"/>
      <name val="Arial"/>
      <family val="2"/>
    </font>
    <font>
      <sz val="8"/>
      <name val="Arial Narrow"/>
      <family val="2"/>
    </font>
    <font>
      <sz val="8"/>
      <color indexed="8"/>
      <name val="Arial Narrow"/>
      <family val="2"/>
    </font>
    <font>
      <vertAlign val="superscript"/>
      <sz val="8"/>
      <name val="Arial Narrow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10"/>
      <name val="Arial"/>
      <family val="2"/>
    </font>
    <font>
      <vertAlign val="superscript"/>
      <sz val="8"/>
      <name val="Arial"/>
      <family val="2"/>
    </font>
    <font>
      <sz val="8"/>
      <color indexed="8"/>
      <name val="Arial"/>
      <family val="2"/>
    </font>
    <font>
      <b/>
      <sz val="8"/>
      <name val="Arial"/>
      <family val="2"/>
    </font>
    <font>
      <u/>
      <sz val="8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E8EAF7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</cellStyleXfs>
  <cellXfs count="147">
    <xf numFmtId="0" fontId="0" fillId="0" borderId="0" xfId="0"/>
    <xf numFmtId="164" fontId="4" fillId="0" borderId="1" xfId="3" applyNumberFormat="1" applyFont="1" applyBorder="1" applyAlignment="1">
      <alignment horizontal="left" vertical="center"/>
    </xf>
    <xf numFmtId="164" fontId="4" fillId="0" borderId="2" xfId="3" applyNumberFormat="1" applyFont="1" applyBorder="1" applyAlignment="1">
      <alignment vertical="center" wrapText="1"/>
    </xf>
    <xf numFmtId="164" fontId="4" fillId="0" borderId="3" xfId="3" applyNumberFormat="1" applyFont="1" applyBorder="1" applyAlignment="1">
      <alignment horizontal="center" vertical="center"/>
    </xf>
    <xf numFmtId="164" fontId="4" fillId="0" borderId="4" xfId="3" applyNumberFormat="1" applyFont="1" applyBorder="1" applyAlignment="1">
      <alignment horizontal="left" vertical="center"/>
    </xf>
    <xf numFmtId="164" fontId="4" fillId="0" borderId="0" xfId="3" applyNumberFormat="1" applyFont="1" applyAlignment="1">
      <alignment horizontal="left" vertical="center"/>
    </xf>
    <xf numFmtId="164" fontId="4" fillId="0" borderId="5" xfId="3" quotePrefix="1" applyNumberFormat="1" applyFont="1" applyBorder="1" applyAlignment="1">
      <alignment vertical="center" wrapText="1"/>
    </xf>
    <xf numFmtId="164" fontId="4" fillId="0" borderId="6" xfId="3" quotePrefix="1" applyNumberFormat="1" applyFont="1" applyBorder="1" applyAlignment="1">
      <alignment horizontal="left" vertical="center"/>
    </xf>
    <xf numFmtId="164" fontId="4" fillId="0" borderId="7" xfId="3" applyNumberFormat="1" applyFont="1" applyBorder="1" applyAlignment="1">
      <alignment horizontal="left" vertical="center"/>
    </xf>
    <xf numFmtId="164" fontId="4" fillId="0" borderId="5" xfId="3" applyNumberFormat="1" applyFont="1" applyBorder="1" applyAlignment="1">
      <alignment vertical="center" wrapText="1"/>
    </xf>
    <xf numFmtId="164" fontId="4" fillId="0" borderId="8" xfId="3" applyNumberFormat="1" applyFont="1" applyBorder="1" applyAlignment="1">
      <alignment horizontal="center" vertical="center"/>
    </xf>
    <xf numFmtId="164" fontId="4" fillId="0" borderId="9" xfId="3" quotePrefix="1" applyNumberFormat="1" applyFont="1" applyBorder="1" applyAlignment="1">
      <alignment vertical="center" wrapText="1"/>
    </xf>
    <xf numFmtId="164" fontId="4" fillId="0" borderId="10" xfId="3" applyNumberFormat="1" applyFont="1" applyBorder="1" applyAlignment="1">
      <alignment horizontal="center" vertical="center"/>
    </xf>
    <xf numFmtId="164" fontId="4" fillId="0" borderId="11" xfId="3" applyNumberFormat="1" applyFont="1" applyBorder="1" applyAlignment="1">
      <alignment horizontal="center" vertical="center"/>
    </xf>
    <xf numFmtId="164" fontId="4" fillId="0" borderId="2" xfId="3" applyNumberFormat="1" applyFont="1" applyBorder="1" applyAlignment="1">
      <alignment horizontal="center" vertical="center"/>
    </xf>
    <xf numFmtId="164" fontId="4" fillId="0" borderId="5" xfId="3" applyNumberFormat="1" applyFont="1" applyBorder="1" applyAlignment="1">
      <alignment horizontal="center" vertical="center"/>
    </xf>
    <xf numFmtId="164" fontId="4" fillId="0" borderId="5" xfId="3" applyNumberFormat="1" applyFont="1" applyBorder="1" applyAlignment="1">
      <alignment horizontal="left" vertical="center"/>
    </xf>
    <xf numFmtId="164" fontId="4" fillId="0" borderId="9" xfId="3" applyNumberFormat="1" applyFont="1" applyBorder="1" applyAlignment="1">
      <alignment horizontal="center" vertical="center"/>
    </xf>
    <xf numFmtId="164" fontId="4" fillId="0" borderId="0" xfId="6" applyNumberFormat="1" applyFont="1" applyAlignment="1">
      <alignment vertical="top"/>
    </xf>
    <xf numFmtId="164" fontId="4" fillId="0" borderId="0" xfId="3" applyNumberFormat="1" applyFont="1"/>
    <xf numFmtId="0" fontId="7" fillId="0" borderId="0" xfId="5" applyFont="1" applyAlignment="1">
      <alignment horizontal="left"/>
    </xf>
    <xf numFmtId="0" fontId="7" fillId="0" borderId="0" xfId="5" quotePrefix="1" applyFont="1" applyAlignment="1">
      <alignment horizontal="left"/>
    </xf>
    <xf numFmtId="164" fontId="7" fillId="0" borderId="0" xfId="3" quotePrefix="1" applyNumberFormat="1" applyFont="1"/>
    <xf numFmtId="0" fontId="8" fillId="0" borderId="0" xfId="4" applyFont="1"/>
    <xf numFmtId="164" fontId="9" fillId="0" borderId="0" xfId="3" applyNumberFormat="1" applyFont="1"/>
    <xf numFmtId="164" fontId="4" fillId="0" borderId="0" xfId="3" applyNumberFormat="1" applyFont="1" applyAlignment="1">
      <alignment horizontal="center" vertical="center" wrapText="1"/>
    </xf>
    <xf numFmtId="164" fontId="4" fillId="0" borderId="0" xfId="3" applyNumberFormat="1" applyFont="1" applyAlignment="1">
      <alignment horizontal="center" vertical="center"/>
    </xf>
    <xf numFmtId="164" fontId="5" fillId="0" borderId="0" xfId="3" applyNumberFormat="1" applyFont="1"/>
    <xf numFmtId="164" fontId="4" fillId="0" borderId="0" xfId="3" applyNumberFormat="1" applyFont="1" applyAlignment="1">
      <alignment vertical="center"/>
    </xf>
    <xf numFmtId="164" fontId="4" fillId="0" borderId="0" xfId="3" applyNumberFormat="1" applyFont="1" applyAlignment="1">
      <alignment horizontal="center" vertical="top" wrapText="1"/>
    </xf>
    <xf numFmtId="164" fontId="5" fillId="0" borderId="0" xfId="3" applyNumberFormat="1" applyFont="1" applyAlignment="1">
      <alignment horizontal="left" vertical="center"/>
    </xf>
    <xf numFmtId="164" fontId="4" fillId="0" borderId="0" xfId="3" applyNumberFormat="1" applyFont="1" applyAlignment="1">
      <alignment horizontal="right"/>
    </xf>
    <xf numFmtId="165" fontId="4" fillId="2" borderId="0" xfId="3" quotePrefix="1" applyNumberFormat="1" applyFont="1" applyFill="1" applyAlignment="1">
      <alignment vertical="center"/>
    </xf>
    <xf numFmtId="164" fontId="4" fillId="2" borderId="0" xfId="3" quotePrefix="1" applyNumberFormat="1" applyFont="1" applyFill="1" applyAlignment="1">
      <alignment horizontal="right" vertical="center"/>
    </xf>
    <xf numFmtId="167" fontId="4" fillId="2" borderId="0" xfId="3" quotePrefix="1" applyNumberFormat="1" applyFont="1" applyFill="1" applyAlignment="1">
      <alignment vertical="center"/>
    </xf>
    <xf numFmtId="166" fontId="4" fillId="2" borderId="0" xfId="3" quotePrefix="1" applyNumberFormat="1" applyFont="1" applyFill="1" applyAlignment="1">
      <alignment horizontal="right" vertical="center"/>
    </xf>
    <xf numFmtId="169" fontId="4" fillId="2" borderId="0" xfId="3" quotePrefix="1" applyNumberFormat="1" applyFont="1" applyFill="1" applyAlignment="1">
      <alignment vertical="center"/>
    </xf>
    <xf numFmtId="0" fontId="4" fillId="0" borderId="0" xfId="4" applyFont="1" applyAlignment="1">
      <alignment vertical="center"/>
    </xf>
    <xf numFmtId="165" fontId="4" fillId="0" borderId="0" xfId="3" quotePrefix="1" applyNumberFormat="1" applyFont="1" applyAlignment="1">
      <alignment horizontal="left" vertical="center"/>
    </xf>
    <xf numFmtId="164" fontId="4" fillId="0" borderId="0" xfId="3" quotePrefix="1" applyNumberFormat="1" applyFont="1" applyAlignment="1">
      <alignment horizontal="right" vertical="center"/>
    </xf>
    <xf numFmtId="167" fontId="4" fillId="0" borderId="0" xfId="3" applyNumberFormat="1" applyFont="1" applyAlignment="1">
      <alignment horizontal="right"/>
    </xf>
    <xf numFmtId="166" fontId="4" fillId="0" borderId="0" xfId="3" quotePrefix="1" applyNumberFormat="1" applyFont="1" applyAlignment="1">
      <alignment horizontal="right"/>
    </xf>
    <xf numFmtId="0" fontId="4" fillId="0" borderId="0" xfId="3" quotePrefix="1" applyFont="1"/>
    <xf numFmtId="167" fontId="4" fillId="0" borderId="0" xfId="3" quotePrefix="1" applyNumberFormat="1" applyFont="1" applyAlignment="1">
      <alignment horizontal="right"/>
    </xf>
    <xf numFmtId="164" fontId="4" fillId="0" borderId="0" xfId="3" quotePrefix="1" applyNumberFormat="1" applyFont="1" applyAlignment="1">
      <alignment horizontal="right"/>
    </xf>
    <xf numFmtId="165" fontId="4" fillId="0" borderId="0" xfId="3" quotePrefix="1" applyNumberFormat="1" applyFont="1" applyAlignment="1">
      <alignment vertical="center"/>
    </xf>
    <xf numFmtId="164" fontId="4" fillId="0" borderId="0" xfId="3" quotePrefix="1" applyNumberFormat="1" applyFont="1" applyAlignment="1">
      <alignment vertical="center"/>
    </xf>
    <xf numFmtId="167" fontId="4" fillId="0" borderId="0" xfId="3" quotePrefix="1" applyNumberFormat="1" applyFont="1" applyAlignment="1">
      <alignment vertical="center"/>
    </xf>
    <xf numFmtId="166" fontId="4" fillId="0" borderId="0" xfId="3" quotePrefix="1" applyNumberFormat="1" applyFont="1" applyAlignment="1">
      <alignment horizontal="right" vertical="center"/>
    </xf>
    <xf numFmtId="169" fontId="4" fillId="0" borderId="0" xfId="3" quotePrefix="1" applyNumberFormat="1" applyFont="1" applyAlignment="1">
      <alignment vertical="center"/>
    </xf>
    <xf numFmtId="164" fontId="4" fillId="2" borderId="0" xfId="3" quotePrefix="1" applyNumberFormat="1" applyFont="1" applyFill="1" applyAlignment="1">
      <alignment vertical="center"/>
    </xf>
    <xf numFmtId="166" fontId="4" fillId="0" borderId="0" xfId="3" quotePrefix="1" applyNumberFormat="1" applyFont="1" applyAlignment="1">
      <alignment vertical="center"/>
    </xf>
    <xf numFmtId="166" fontId="4" fillId="2" borderId="0" xfId="3" quotePrefix="1" applyNumberFormat="1" applyFont="1" applyFill="1" applyAlignment="1">
      <alignment vertical="center"/>
    </xf>
    <xf numFmtId="164" fontId="5" fillId="0" borderId="0" xfId="6" applyNumberFormat="1" applyFont="1"/>
    <xf numFmtId="0" fontId="4" fillId="0" borderId="0" xfId="5" applyFont="1"/>
    <xf numFmtId="164" fontId="4" fillId="0" borderId="0" xfId="6" applyNumberFormat="1" applyFont="1"/>
    <xf numFmtId="0" fontId="4" fillId="0" borderId="0" xfId="4" applyFont="1"/>
    <xf numFmtId="0" fontId="4" fillId="0" borderId="0" xfId="5" quotePrefix="1" applyFont="1" applyAlignment="1">
      <alignment horizontal="left"/>
    </xf>
    <xf numFmtId="0" fontId="4" fillId="0" borderId="0" xfId="1" applyFont="1"/>
    <xf numFmtId="0" fontId="4" fillId="0" borderId="0" xfId="2" applyFont="1"/>
    <xf numFmtId="168" fontId="4" fillId="0" borderId="0" xfId="5" applyNumberFormat="1" applyFont="1"/>
    <xf numFmtId="1" fontId="4" fillId="0" borderId="0" xfId="5" applyNumberFormat="1" applyFont="1"/>
    <xf numFmtId="164" fontId="4" fillId="0" borderId="1" xfId="3" applyNumberFormat="1" applyFont="1" applyBorder="1" applyAlignment="1">
      <alignment horizontal="center" vertical="center" wrapText="1"/>
    </xf>
    <xf numFmtId="164" fontId="4" fillId="0" borderId="8" xfId="3" applyNumberFormat="1" applyFont="1" applyBorder="1" applyAlignment="1">
      <alignment horizontal="center" vertical="center" wrapText="1"/>
    </xf>
    <xf numFmtId="165" fontId="4" fillId="0" borderId="8" xfId="3" quotePrefix="1" applyNumberFormat="1" applyFont="1" applyBorder="1" applyAlignment="1">
      <alignment horizontal="center" vertical="center"/>
    </xf>
    <xf numFmtId="164" fontId="4" fillId="0" borderId="8" xfId="3" quotePrefix="1" applyNumberFormat="1" applyFont="1" applyBorder="1" applyAlignment="1">
      <alignment vertical="center"/>
    </xf>
    <xf numFmtId="171" fontId="4" fillId="0" borderId="0" xfId="4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168" fontId="4" fillId="0" borderId="0" xfId="4" applyNumberFormat="1" applyFont="1" applyAlignment="1">
      <alignment vertical="center"/>
    </xf>
    <xf numFmtId="0" fontId="7" fillId="0" borderId="0" xfId="5" quotePrefix="1" applyFont="1" applyAlignment="1">
      <alignment horizontal="right"/>
    </xf>
    <xf numFmtId="0" fontId="3" fillId="0" borderId="0" xfId="1" applyFont="1"/>
    <xf numFmtId="0" fontId="3" fillId="0" borderId="0" xfId="2" applyFont="1"/>
    <xf numFmtId="164" fontId="3" fillId="0" borderId="1" xfId="3" applyNumberFormat="1" applyFont="1" applyBorder="1" applyAlignment="1">
      <alignment vertical="center"/>
    </xf>
    <xf numFmtId="164" fontId="3" fillId="0" borderId="3" xfId="3" quotePrefix="1" applyNumberFormat="1" applyFont="1" applyBorder="1" applyAlignment="1">
      <alignment horizontal="left" vertical="center"/>
    </xf>
    <xf numFmtId="164" fontId="3" fillId="0" borderId="1" xfId="3" applyNumberFormat="1" applyFont="1" applyBorder="1" applyAlignment="1">
      <alignment horizontal="left" vertical="center"/>
    </xf>
    <xf numFmtId="164" fontId="3" fillId="0" borderId="4" xfId="3" applyNumberFormat="1" applyFont="1" applyBorder="1" applyAlignment="1">
      <alignment horizontal="left" vertical="center"/>
    </xf>
    <xf numFmtId="164" fontId="3" fillId="0" borderId="2" xfId="3" quotePrefix="1" applyNumberFormat="1" applyFont="1" applyBorder="1" applyAlignment="1">
      <alignment vertical="center" wrapText="1"/>
    </xf>
    <xf numFmtId="164" fontId="3" fillId="0" borderId="0" xfId="3" applyNumberFormat="1" applyFont="1" applyAlignment="1">
      <alignment vertical="center"/>
    </xf>
    <xf numFmtId="164" fontId="3" fillId="0" borderId="6" xfId="3" quotePrefix="1" applyNumberFormat="1" applyFont="1" applyBorder="1" applyAlignment="1">
      <alignment horizontal="left" vertical="center"/>
    </xf>
    <xf numFmtId="164" fontId="3" fillId="0" borderId="0" xfId="3" applyNumberFormat="1" applyFont="1" applyAlignment="1">
      <alignment horizontal="left" vertical="center"/>
    </xf>
    <xf numFmtId="164" fontId="3" fillId="0" borderId="7" xfId="3" applyNumberFormat="1" applyFont="1" applyBorder="1" applyAlignment="1">
      <alignment horizontal="left" vertical="center"/>
    </xf>
    <xf numFmtId="164" fontId="3" fillId="0" borderId="5" xfId="3" applyNumberFormat="1" applyFont="1" applyBorder="1" applyAlignment="1">
      <alignment vertical="center" wrapText="1"/>
    </xf>
    <xf numFmtId="164" fontId="3" fillId="0" borderId="8" xfId="3" applyNumberFormat="1" applyFont="1" applyBorder="1" applyAlignment="1">
      <alignment vertical="center"/>
    </xf>
    <xf numFmtId="164" fontId="3" fillId="0" borderId="9" xfId="3" applyNumberFormat="1" applyFont="1" applyBorder="1" applyAlignment="1">
      <alignment horizontal="center" vertical="center"/>
    </xf>
    <xf numFmtId="164" fontId="3" fillId="0" borderId="11" xfId="3" applyNumberFormat="1" applyFont="1" applyBorder="1" applyAlignment="1">
      <alignment horizontal="center" vertical="center"/>
    </xf>
    <xf numFmtId="164" fontId="3" fillId="0" borderId="0" xfId="3" applyNumberFormat="1" applyFont="1"/>
    <xf numFmtId="165" fontId="3" fillId="0" borderId="0" xfId="3" quotePrefix="1" applyNumberFormat="1" applyFont="1" applyAlignment="1">
      <alignment horizontal="center" vertical="center"/>
    </xf>
    <xf numFmtId="164" fontId="13" fillId="3" borderId="0" xfId="3" quotePrefix="1" applyNumberFormat="1" applyFont="1" applyFill="1" applyAlignment="1">
      <alignment vertical="center"/>
    </xf>
    <xf numFmtId="164" fontId="3" fillId="0" borderId="0" xfId="3" quotePrefix="1" applyNumberFormat="1" applyFont="1" applyAlignment="1">
      <alignment vertical="center"/>
    </xf>
    <xf numFmtId="167" fontId="13" fillId="3" borderId="0" xfId="3" quotePrefix="1" applyNumberFormat="1" applyFont="1" applyFill="1" applyAlignment="1">
      <alignment vertical="center"/>
    </xf>
    <xf numFmtId="167" fontId="3" fillId="0" borderId="0" xfId="3" quotePrefix="1" applyNumberFormat="1" applyFont="1" applyAlignment="1">
      <alignment vertical="center"/>
    </xf>
    <xf numFmtId="169" fontId="3" fillId="0" borderId="0" xfId="3" quotePrefix="1" applyNumberFormat="1" applyFont="1" applyAlignment="1">
      <alignment vertical="center"/>
    </xf>
    <xf numFmtId="170" fontId="13" fillId="3" borderId="0" xfId="3" quotePrefix="1" applyNumberFormat="1" applyFont="1" applyFill="1" applyAlignment="1">
      <alignment vertical="center"/>
    </xf>
    <xf numFmtId="170" fontId="3" fillId="0" borderId="0" xfId="3" quotePrefix="1" applyNumberFormat="1" applyFont="1" applyAlignment="1">
      <alignment vertical="center"/>
    </xf>
    <xf numFmtId="166" fontId="13" fillId="3" borderId="0" xfId="3" quotePrefix="1" applyNumberFormat="1" applyFont="1" applyFill="1" applyAlignment="1">
      <alignment vertical="center"/>
    </xf>
    <xf numFmtId="164" fontId="3" fillId="0" borderId="0" xfId="6" applyNumberFormat="1" applyFont="1" applyAlignment="1">
      <alignment vertical="top"/>
    </xf>
    <xf numFmtId="0" fontId="3" fillId="0" borderId="0" xfId="5" applyFont="1"/>
    <xf numFmtId="168" fontId="3" fillId="0" borderId="0" xfId="5" applyNumberFormat="1" applyFont="1"/>
    <xf numFmtId="1" fontId="3" fillId="0" borderId="0" xfId="5" applyNumberFormat="1" applyFont="1"/>
    <xf numFmtId="168" fontId="14" fillId="0" borderId="0" xfId="4" applyNumberFormat="1" applyFont="1" applyAlignment="1">
      <alignment vertical="center"/>
    </xf>
    <xf numFmtId="164" fontId="13" fillId="3" borderId="0" xfId="3" applyNumberFormat="1" applyFont="1" applyFill="1" applyAlignment="1">
      <alignment horizontal="left" vertical="center"/>
    </xf>
    <xf numFmtId="164" fontId="3" fillId="0" borderId="0" xfId="3" applyNumberFormat="1" applyFont="1" applyAlignment="1">
      <alignment horizontal="center" vertical="center"/>
    </xf>
    <xf numFmtId="0" fontId="3" fillId="0" borderId="0" xfId="0" applyFont="1"/>
    <xf numFmtId="164" fontId="13" fillId="3" borderId="9" xfId="3" applyNumberFormat="1" applyFont="1" applyFill="1" applyBorder="1" applyAlignment="1">
      <alignment horizontal="center" vertical="center"/>
    </xf>
    <xf numFmtId="0" fontId="7" fillId="4" borderId="0" xfId="5" quotePrefix="1" applyFont="1" applyFill="1" applyAlignment="1">
      <alignment horizontal="left"/>
    </xf>
    <xf numFmtId="164" fontId="7" fillId="4" borderId="0" xfId="3" quotePrefix="1" applyNumberFormat="1" applyFont="1" applyFill="1"/>
    <xf numFmtId="164" fontId="4" fillId="4" borderId="3" xfId="3" applyNumberFormat="1" applyFont="1" applyFill="1" applyBorder="1" applyAlignment="1">
      <alignment horizontal="center" vertical="center"/>
    </xf>
    <xf numFmtId="164" fontId="4" fillId="4" borderId="6" xfId="3" quotePrefix="1" applyNumberFormat="1" applyFont="1" applyFill="1" applyBorder="1" applyAlignment="1">
      <alignment horizontal="left" vertical="center"/>
    </xf>
    <xf numFmtId="164" fontId="4" fillId="4" borderId="10" xfId="3" applyNumberFormat="1" applyFont="1" applyFill="1" applyBorder="1" applyAlignment="1">
      <alignment horizontal="center" vertical="center"/>
    </xf>
    <xf numFmtId="164" fontId="4" fillId="4" borderId="2" xfId="3" applyNumberFormat="1" applyFont="1" applyFill="1" applyBorder="1" applyAlignment="1">
      <alignment horizontal="center" vertical="center"/>
    </xf>
    <xf numFmtId="164" fontId="4" fillId="4" borderId="5" xfId="3" applyNumberFormat="1" applyFont="1" applyFill="1" applyBorder="1" applyAlignment="1">
      <alignment horizontal="left" vertical="center"/>
    </xf>
    <xf numFmtId="164" fontId="4" fillId="4" borderId="9" xfId="3" applyNumberFormat="1" applyFont="1" applyFill="1" applyBorder="1" applyAlignment="1">
      <alignment horizontal="center" vertical="center"/>
    </xf>
    <xf numFmtId="164" fontId="4" fillId="4" borderId="0" xfId="3" applyNumberFormat="1" applyFont="1" applyFill="1" applyAlignment="1">
      <alignment horizontal="right"/>
    </xf>
    <xf numFmtId="164" fontId="4" fillId="4" borderId="0" xfId="3" quotePrefix="1" applyNumberFormat="1" applyFont="1" applyFill="1" applyAlignment="1">
      <alignment horizontal="right" vertical="center"/>
    </xf>
    <xf numFmtId="164" fontId="4" fillId="4" borderId="0" xfId="3" quotePrefix="1" applyNumberFormat="1" applyFont="1" applyFill="1" applyAlignment="1">
      <alignment vertical="center"/>
    </xf>
    <xf numFmtId="164" fontId="4" fillId="4" borderId="8" xfId="3" quotePrefix="1" applyNumberFormat="1" applyFont="1" applyFill="1" applyBorder="1" applyAlignment="1">
      <alignment vertical="center"/>
    </xf>
    <xf numFmtId="164" fontId="4" fillId="4" borderId="0" xfId="6" applyNumberFormat="1" applyFont="1" applyFill="1"/>
    <xf numFmtId="164" fontId="4" fillId="4" borderId="0" xfId="6" applyNumberFormat="1" applyFont="1" applyFill="1" applyAlignment="1">
      <alignment vertical="top"/>
    </xf>
    <xf numFmtId="0" fontId="4" fillId="4" borderId="0" xfId="1" applyFont="1" applyFill="1"/>
    <xf numFmtId="0" fontId="4" fillId="4" borderId="0" xfId="0" applyFont="1" applyFill="1" applyAlignment="1">
      <alignment vertical="center"/>
    </xf>
    <xf numFmtId="0" fontId="4" fillId="4" borderId="0" xfId="5" applyFont="1" applyFill="1"/>
    <xf numFmtId="164" fontId="4" fillId="4" borderId="0" xfId="3" applyNumberFormat="1" applyFont="1" applyFill="1"/>
    <xf numFmtId="164" fontId="3" fillId="0" borderId="3" xfId="3" applyNumberFormat="1" applyFont="1" applyBorder="1" applyAlignment="1">
      <alignment horizontal="center" vertical="center" wrapText="1"/>
    </xf>
    <xf numFmtId="164" fontId="3" fillId="0" borderId="1" xfId="3" quotePrefix="1" applyNumberFormat="1" applyFont="1" applyBorder="1" applyAlignment="1">
      <alignment horizontal="center" vertical="center" wrapText="1"/>
    </xf>
    <xf numFmtId="164" fontId="3" fillId="0" borderId="4" xfId="3" quotePrefix="1" applyNumberFormat="1" applyFont="1" applyBorder="1" applyAlignment="1">
      <alignment horizontal="center" vertical="center" wrapText="1"/>
    </xf>
    <xf numFmtId="164" fontId="3" fillId="0" borderId="6" xfId="3" quotePrefix="1" applyNumberFormat="1" applyFont="1" applyBorder="1" applyAlignment="1">
      <alignment horizontal="center" vertical="center" wrapText="1"/>
    </xf>
    <xf numFmtId="164" fontId="3" fillId="0" borderId="0" xfId="3" quotePrefix="1" applyNumberFormat="1" applyFont="1" applyAlignment="1">
      <alignment horizontal="center" vertical="center" wrapText="1"/>
    </xf>
    <xf numFmtId="164" fontId="3" fillId="0" borderId="7" xfId="3" quotePrefix="1" applyNumberFormat="1" applyFont="1" applyBorder="1" applyAlignment="1">
      <alignment horizontal="center" vertical="center" wrapText="1"/>
    </xf>
    <xf numFmtId="164" fontId="3" fillId="0" borderId="10" xfId="3" quotePrefix="1" applyNumberFormat="1" applyFont="1" applyBorder="1" applyAlignment="1">
      <alignment horizontal="center" vertical="center" wrapText="1"/>
    </xf>
    <xf numFmtId="164" fontId="3" fillId="0" borderId="8" xfId="3" quotePrefix="1" applyNumberFormat="1" applyFont="1" applyBorder="1" applyAlignment="1">
      <alignment horizontal="center" vertical="center" wrapText="1"/>
    </xf>
    <xf numFmtId="164" fontId="3" fillId="0" borderId="11" xfId="3" quotePrefix="1" applyNumberFormat="1" applyFont="1" applyBorder="1" applyAlignment="1">
      <alignment horizontal="center" vertical="center" wrapText="1"/>
    </xf>
    <xf numFmtId="164" fontId="12" fillId="0" borderId="7" xfId="3" applyNumberFormat="1" applyFont="1" applyBorder="1"/>
    <xf numFmtId="0" fontId="10" fillId="0" borderId="7" xfId="0" applyFont="1" applyBorder="1"/>
    <xf numFmtId="164" fontId="3" fillId="0" borderId="2" xfId="3" applyNumberFormat="1" applyFont="1" applyBorder="1" applyAlignment="1">
      <alignment horizontal="center" vertical="center" wrapText="1"/>
    </xf>
    <xf numFmtId="0" fontId="3" fillId="0" borderId="5" xfId="0" applyFont="1" applyBorder="1"/>
    <xf numFmtId="0" fontId="3" fillId="0" borderId="9" xfId="0" applyFont="1" applyBorder="1"/>
    <xf numFmtId="164" fontId="4" fillId="0" borderId="3" xfId="3" applyNumberFormat="1" applyFont="1" applyBorder="1" applyAlignment="1">
      <alignment horizontal="center" vertical="center" wrapText="1"/>
    </xf>
    <xf numFmtId="164" fontId="4" fillId="0" borderId="1" xfId="3" quotePrefix="1" applyNumberFormat="1" applyFont="1" applyBorder="1" applyAlignment="1">
      <alignment horizontal="center" vertical="center" wrapText="1"/>
    </xf>
    <xf numFmtId="164" fontId="4" fillId="0" borderId="4" xfId="3" quotePrefix="1" applyNumberFormat="1" applyFont="1" applyBorder="1" applyAlignment="1">
      <alignment horizontal="center" vertical="center" wrapText="1"/>
    </xf>
    <xf numFmtId="164" fontId="4" fillId="0" borderId="6" xfId="3" quotePrefix="1" applyNumberFormat="1" applyFont="1" applyBorder="1" applyAlignment="1">
      <alignment horizontal="center" vertical="center" wrapText="1"/>
    </xf>
    <xf numFmtId="164" fontId="4" fillId="0" borderId="0" xfId="3" quotePrefix="1" applyNumberFormat="1" applyFont="1" applyAlignment="1">
      <alignment horizontal="center" vertical="center" wrapText="1"/>
    </xf>
    <xf numFmtId="164" fontId="4" fillId="0" borderId="7" xfId="3" quotePrefix="1" applyNumberFormat="1" applyFont="1" applyBorder="1" applyAlignment="1">
      <alignment horizontal="center" vertical="center" wrapText="1"/>
    </xf>
    <xf numFmtId="164" fontId="4" fillId="0" borderId="10" xfId="3" quotePrefix="1" applyNumberFormat="1" applyFont="1" applyBorder="1" applyAlignment="1">
      <alignment horizontal="center" vertical="center" wrapText="1"/>
    </xf>
    <xf numFmtId="164" fontId="4" fillId="0" borderId="8" xfId="3" quotePrefix="1" applyNumberFormat="1" applyFont="1" applyBorder="1" applyAlignment="1">
      <alignment horizontal="center" vertical="center" wrapText="1"/>
    </xf>
    <xf numFmtId="164" fontId="4" fillId="0" borderId="11" xfId="3" quotePrefix="1" applyNumberFormat="1" applyFont="1" applyBorder="1" applyAlignment="1">
      <alignment horizontal="center" vertical="center" wrapText="1"/>
    </xf>
    <xf numFmtId="164" fontId="4" fillId="0" borderId="2" xfId="3" applyNumberFormat="1" applyFont="1" applyBorder="1" applyAlignment="1">
      <alignment horizontal="center" vertical="center" wrapText="1"/>
    </xf>
  </cellXfs>
  <cellStyles count="7">
    <cellStyle name="Normal" xfId="0" builtinId="0"/>
    <cellStyle name="Normal_cc-f-03.4.1-A01" xfId="1" xr:uid="{00000000-0005-0000-0000-000001000000}"/>
    <cellStyle name="Normal_cc-f-03.4.1-A03" xfId="2" xr:uid="{00000000-0005-0000-0000-000002000000}"/>
    <cellStyle name="Normal_HNTA" xfId="3" xr:uid="{00000000-0005-0000-0000-000003000000}"/>
    <cellStyle name="Normal_SN&amp;R39-98" xfId="4" xr:uid="{00000000-0005-0000-0000-000004000000}"/>
    <cellStyle name="Normal_SVOL_91T" xfId="5" xr:uid="{00000000-0005-0000-0000-000005000000}"/>
    <cellStyle name="Normal_VOL(i)_1" xfId="6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4.xml"/><Relationship Id="rId4" Type="http://schemas.openxmlformats.org/officeDocument/2006/relationships/chartsheet" Target="chartsheets/sheet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Feuil1!$B$1</c:f>
              <c:strCache>
                <c:ptCount val="1"/>
                <c:pt idx="0">
                  <c:v>Indice_salaire_reel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Feuil1!$A$59:$A$84</c:f>
              <c:numCache>
                <c:formatCode>General</c:formatCode>
                <c:ptCount val="26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</c:numCache>
            </c:numRef>
          </c:cat>
          <c:val>
            <c:numRef>
              <c:f>Feuil1!$K$59:$K$84</c:f>
              <c:numCache>
                <c:formatCode>General</c:formatCode>
                <c:ptCount val="26"/>
                <c:pt idx="0">
                  <c:v>100</c:v>
                </c:pt>
                <c:pt idx="1">
                  <c:v>99.642857142857139</c:v>
                </c:pt>
                <c:pt idx="2">
                  <c:v>101.42857142857142</c:v>
                </c:pt>
                <c:pt idx="3">
                  <c:v>102.49999999999999</c:v>
                </c:pt>
                <c:pt idx="4">
                  <c:v>103.21428571428572</c:v>
                </c:pt>
                <c:pt idx="5">
                  <c:v>103.21428571428572</c:v>
                </c:pt>
                <c:pt idx="6">
                  <c:v>103.21428571428572</c:v>
                </c:pt>
                <c:pt idx="7">
                  <c:v>103.21428571428572</c:v>
                </c:pt>
                <c:pt idx="8">
                  <c:v>104.28571428571429</c:v>
                </c:pt>
                <c:pt idx="9">
                  <c:v>103.57142857142858</c:v>
                </c:pt>
                <c:pt idx="10">
                  <c:v>106.42857142857143</c:v>
                </c:pt>
                <c:pt idx="11">
                  <c:v>106.42857142857143</c:v>
                </c:pt>
                <c:pt idx="12">
                  <c:v>107.5</c:v>
                </c:pt>
                <c:pt idx="13">
                  <c:v>108.92857142857142</c:v>
                </c:pt>
                <c:pt idx="14">
                  <c:v>110.00000000000001</c:v>
                </c:pt>
                <c:pt idx="15">
                  <c:v>111.07142857142858</c:v>
                </c:pt>
                <c:pt idx="16">
                  <c:v>112.5</c:v>
                </c:pt>
                <c:pt idx="17">
                  <c:v>113.92857142857142</c:v>
                </c:pt>
                <c:pt idx="18">
                  <c:v>113.57142857142857</c:v>
                </c:pt>
                <c:pt idx="19">
                  <c:v>113.21428571428571</c:v>
                </c:pt>
                <c:pt idx="20">
                  <c:v>113.92857142857142</c:v>
                </c:pt>
                <c:pt idx="21">
                  <c:v>115.71428571428572</c:v>
                </c:pt>
                <c:pt idx="22">
                  <c:v>114.64285714285714</c:v>
                </c:pt>
                <c:pt idx="23">
                  <c:v>112.5</c:v>
                </c:pt>
                <c:pt idx="24">
                  <c:v>112.14285714285714</c:v>
                </c:pt>
                <c:pt idx="25">
                  <c:v>112.85714285714286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E9-4856-8983-105A5C3F17A7}"/>
            </c:ext>
          </c:extLst>
        </c:ser>
        <c:ser>
          <c:idx val="6"/>
          <c:order val="1"/>
          <c:tx>
            <c:strRef>
              <c:f>Feuil1!$G$1</c:f>
              <c:strCache>
                <c:ptCount val="1"/>
                <c:pt idx="0">
                  <c:v>ipam_total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Feuil1!$A$59:$A$84</c:f>
              <c:numCache>
                <c:formatCode>General</c:formatCode>
                <c:ptCount val="26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</c:numCache>
            </c:numRef>
          </c:cat>
          <c:val>
            <c:numRef>
              <c:f>Feuil1!$G$2:$G$84</c:f>
              <c:numCache>
                <c:formatCode>General</c:formatCode>
                <c:ptCount val="26"/>
                <c:pt idx="0">
                  <c:v>100</c:v>
                </c:pt>
                <c:pt idx="1">
                  <c:v>104.6</c:v>
                </c:pt>
                <c:pt idx="2">
                  <c:v>110.3</c:v>
                </c:pt>
                <c:pt idx="3">
                  <c:v>119</c:v>
                </c:pt>
                <c:pt idx="4">
                  <c:v>127.4</c:v>
                </c:pt>
                <c:pt idx="5">
                  <c:v>134</c:v>
                </c:pt>
                <c:pt idx="6">
                  <c:v>136.69999999999999</c:v>
                </c:pt>
                <c:pt idx="7">
                  <c:v>141.69999999999999</c:v>
                </c:pt>
                <c:pt idx="8">
                  <c:v>143.1</c:v>
                </c:pt>
                <c:pt idx="9">
                  <c:v>142.5</c:v>
                </c:pt>
                <c:pt idx="10">
                  <c:v>144.6</c:v>
                </c:pt>
                <c:pt idx="11">
                  <c:v>156.30000000000001</c:v>
                </c:pt>
                <c:pt idx="12">
                  <c:v>165.3</c:v>
                </c:pt>
                <c:pt idx="13">
                  <c:v>168.5</c:v>
                </c:pt>
                <c:pt idx="14">
                  <c:v>170.4</c:v>
                </c:pt>
                <c:pt idx="15">
                  <c:v>169</c:v>
                </c:pt>
                <c:pt idx="16">
                  <c:v>173.3</c:v>
                </c:pt>
                <c:pt idx="17">
                  <c:v>178.5</c:v>
                </c:pt>
                <c:pt idx="18">
                  <c:v>185.3</c:v>
                </c:pt>
                <c:pt idx="19">
                  <c:v>192.83425255256284</c:v>
                </c:pt>
                <c:pt idx="20">
                  <c:v>194.4</c:v>
                </c:pt>
                <c:pt idx="21">
                  <c:v>194.8</c:v>
                </c:pt>
                <c:pt idx="22">
                  <c:v>195.3</c:v>
                </c:pt>
                <c:pt idx="23">
                  <c:v>194.4</c:v>
                </c:pt>
                <c:pt idx="24">
                  <c:v>202</c:v>
                </c:pt>
                <c:pt idx="25">
                  <c:v>213.9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E9-4856-8983-105A5C3F17A7}"/>
            </c:ext>
          </c:extLst>
        </c:ser>
        <c:ser>
          <c:idx val="0"/>
          <c:order val="2"/>
          <c:tx>
            <c:strRef>
              <c:f>Feuil1!$L$1</c:f>
              <c:strCache>
                <c:ptCount val="1"/>
                <c:pt idx="0">
                  <c:v>salaire_nominal100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Feuil1!$L$59:$L$84</c:f>
              <c:numCache>
                <c:formatCode>General</c:formatCode>
                <c:ptCount val="26"/>
                <c:pt idx="0">
                  <c:v>100</c:v>
                </c:pt>
                <c:pt idx="1">
                  <c:v>101.28998968008256</c:v>
                </c:pt>
                <c:pt idx="2">
                  <c:v>103.76676986584108</c:v>
                </c:pt>
                <c:pt idx="3">
                  <c:v>105.62435500515997</c:v>
                </c:pt>
                <c:pt idx="4">
                  <c:v>107.12074303405572</c:v>
                </c:pt>
                <c:pt idx="5">
                  <c:v>108.10113519091846</c:v>
                </c:pt>
                <c:pt idx="6">
                  <c:v>109.13312693498452</c:v>
                </c:pt>
                <c:pt idx="7">
                  <c:v>110.42311661506707</c:v>
                </c:pt>
                <c:pt idx="8">
                  <c:v>112.22910216718267</c:v>
                </c:pt>
                <c:pt idx="9">
                  <c:v>114.49948400412796</c:v>
                </c:pt>
                <c:pt idx="10">
                  <c:v>116.92466460268318</c:v>
                </c:pt>
                <c:pt idx="11">
                  <c:v>117.85345717234262</c:v>
                </c:pt>
                <c:pt idx="12">
                  <c:v>118.98864809081526</c:v>
                </c:pt>
                <c:pt idx="13">
                  <c:v>120.02063983488131</c:v>
                </c:pt>
                <c:pt idx="14">
                  <c:v>120.89783281733746</c:v>
                </c:pt>
                <c:pt idx="15">
                  <c:v>121.82662538699691</c:v>
                </c:pt>
                <c:pt idx="16">
                  <c:v>122.29102167182661</c:v>
                </c:pt>
                <c:pt idx="17">
                  <c:v>123.11661506707947</c:v>
                </c:pt>
                <c:pt idx="18">
                  <c:v>123.58101135190918</c:v>
                </c:pt>
                <c:pt idx="19">
                  <c:v>124.20020639834881</c:v>
                </c:pt>
                <c:pt idx="20">
                  <c:v>125.33539731682146</c:v>
                </c:pt>
                <c:pt idx="21">
                  <c:v>126.36738906088752</c:v>
                </c:pt>
                <c:pt idx="22">
                  <c:v>126.16099071207429</c:v>
                </c:pt>
                <c:pt idx="23">
                  <c:v>127.34778121775025</c:v>
                </c:pt>
                <c:pt idx="24">
                  <c:v>129.51496388028895</c:v>
                </c:pt>
                <c:pt idx="25">
                  <c:v>131.83694530443756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5E9-4856-8983-105A5C3F17A7}"/>
            </c:ext>
          </c:extLst>
        </c:ser>
        <c:ser>
          <c:idx val="2"/>
          <c:order val="3"/>
          <c:tx>
            <c:strRef>
              <c:f>Feuil1!$N$1</c:f>
              <c:strCache>
                <c:ptCount val="1"/>
                <c:pt idx="0">
                  <c:v>pib_reel_100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Feuil1!$N$59:$N$84</c:f>
              <c:numCache>
                <c:formatCode>General</c:formatCode>
                <c:ptCount val="26"/>
                <c:pt idx="0">
                  <c:v>100</c:v>
                </c:pt>
                <c:pt idx="1">
                  <c:v>103.63321686150913</c:v>
                </c:pt>
                <c:pt idx="2">
                  <c:v>105.28326257599619</c:v>
                </c:pt>
                <c:pt idx="3">
                  <c:v>105.68377085756065</c:v>
                </c:pt>
                <c:pt idx="4">
                  <c:v>105.38339384992861</c:v>
                </c:pt>
                <c:pt idx="5">
                  <c:v>108.10958737343152</c:v>
                </c:pt>
                <c:pt idx="6">
                  <c:v>111.30107417133748</c:v>
                </c:pt>
                <c:pt idx="7">
                  <c:v>115.90261962745933</c:v>
                </c:pt>
                <c:pt idx="8">
                  <c:v>120.51924551296314</c:v>
                </c:pt>
                <c:pt idx="9">
                  <c:v>123.57030626059154</c:v>
                </c:pt>
                <c:pt idx="10">
                  <c:v>121.17933267189468</c:v>
                </c:pt>
                <c:pt idx="11">
                  <c:v>125.1305433118447</c:v>
                </c:pt>
                <c:pt idx="12">
                  <c:v>126.89195668542077</c:v>
                </c:pt>
                <c:pt idx="13">
                  <c:v>128.31839471287014</c:v>
                </c:pt>
                <c:pt idx="14">
                  <c:v>130.67447943455534</c:v>
                </c:pt>
                <c:pt idx="15">
                  <c:v>133.99808482718694</c:v>
                </c:pt>
                <c:pt idx="16">
                  <c:v>135.94709132467457</c:v>
                </c:pt>
                <c:pt idx="17">
                  <c:v>138.5458437723818</c:v>
                </c:pt>
                <c:pt idx="18">
                  <c:v>140.51367429793868</c:v>
                </c:pt>
                <c:pt idx="19">
                  <c:v>145.18917197516453</c:v>
                </c:pt>
                <c:pt idx="20">
                  <c:v>146.80849860522659</c:v>
                </c:pt>
                <c:pt idx="21">
                  <c:v>143.49758821527635</c:v>
                </c:pt>
                <c:pt idx="22">
                  <c:v>152.36032699132244</c:v>
                </c:pt>
                <c:pt idx="23">
                  <c:v>157.7452024689922</c:v>
                </c:pt>
                <c:pt idx="24">
                  <c:v>159.04748513933313</c:v>
                </c:pt>
                <c:pt idx="25">
                  <c:v>161.25877584771806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5E9-4856-8983-105A5C3F1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9569023"/>
        <c:axId val="1829569503"/>
      </c:lineChart>
      <c:catAx>
        <c:axId val="1829569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829569503"/>
        <c:crosses val="autoZero"/>
        <c:auto val="1"/>
        <c:lblAlgn val="ctr"/>
        <c:lblOffset val="100"/>
        <c:noMultiLvlLbl val="0"/>
      </c:catAx>
      <c:valAx>
        <c:axId val="1829569503"/>
        <c:scaling>
          <c:orientation val="minMax"/>
          <c:min val="9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829569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439035536331291"/>
          <c:y val="0.14080175259618349"/>
          <c:w val="0.15657552704704558"/>
          <c:h val="0.25436206451418841"/>
        </c:manualLayout>
      </c:layout>
      <c:overlay val="0"/>
      <c:spPr>
        <a:solidFill>
          <a:schemeClr val="bg1"/>
        </a:solidFill>
        <a:ln>
          <a:solidFill>
            <a:schemeClr val="accent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E45FC4C-E1B4-4E57-B1FB-6D795D392E68}">
  <sheetPr/>
  <sheetViews>
    <sheetView tabSelected="1" zoomScale="121" workbookViewId="0" zoomToFit="1"/>
  </sheetViews>
  <pageMargins left="0.7" right="0.7" top="0.75" bottom="0.75" header="0.3" footer="0.3"/>
  <drawing r:id="rId1"/>
</chartsheet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13</xdr:row>
      <xdr:rowOff>66675</xdr:rowOff>
    </xdr:from>
    <xdr:to>
      <xdr:col>4</xdr:col>
      <xdr:colOff>114300</xdr:colOff>
      <xdr:row>16</xdr:row>
      <xdr:rowOff>85725</xdr:rowOff>
    </xdr:to>
    <xdr:sp macro="" textlink="">
      <xdr:nvSpPr>
        <xdr:cNvPr id="1101" name="AutoShape 1">
          <a:extLst>
            <a:ext uri="{FF2B5EF4-FFF2-40B4-BE49-F238E27FC236}">
              <a16:creationId xmlns:a16="http://schemas.microsoft.com/office/drawing/2014/main" id="{00000000-0008-0000-0200-00004D040000}"/>
            </a:ext>
          </a:extLst>
        </xdr:cNvPr>
        <xdr:cNvSpPr>
          <a:spLocks/>
        </xdr:cNvSpPr>
      </xdr:nvSpPr>
      <xdr:spPr bwMode="auto">
        <a:xfrm>
          <a:off x="1685925" y="1485900"/>
          <a:ext cx="114300" cy="561975"/>
        </a:xfrm>
        <a:prstGeom prst="rightBrace">
          <a:avLst>
            <a:gd name="adj1" fmla="val 40972"/>
            <a:gd name="adj2" fmla="val 40676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9525</xdr:colOff>
      <xdr:row>13</xdr:row>
      <xdr:rowOff>66675</xdr:rowOff>
    </xdr:from>
    <xdr:to>
      <xdr:col>7</xdr:col>
      <xdr:colOff>123825</xdr:colOff>
      <xdr:row>16</xdr:row>
      <xdr:rowOff>85725</xdr:rowOff>
    </xdr:to>
    <xdr:sp macro="" textlink="">
      <xdr:nvSpPr>
        <xdr:cNvPr id="1102" name="AutoShape 3">
          <a:extLst>
            <a:ext uri="{FF2B5EF4-FFF2-40B4-BE49-F238E27FC236}">
              <a16:creationId xmlns:a16="http://schemas.microsoft.com/office/drawing/2014/main" id="{00000000-0008-0000-0200-00004E040000}"/>
            </a:ext>
          </a:extLst>
        </xdr:cNvPr>
        <xdr:cNvSpPr>
          <a:spLocks/>
        </xdr:cNvSpPr>
      </xdr:nvSpPr>
      <xdr:spPr bwMode="auto">
        <a:xfrm>
          <a:off x="3009900" y="1485900"/>
          <a:ext cx="114300" cy="561975"/>
        </a:xfrm>
        <a:prstGeom prst="rightBrace">
          <a:avLst>
            <a:gd name="adj1" fmla="val 40972"/>
            <a:gd name="adj2" fmla="val 40676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66675</xdr:rowOff>
    </xdr:from>
    <xdr:to>
      <xdr:col>11</xdr:col>
      <xdr:colOff>114300</xdr:colOff>
      <xdr:row>16</xdr:row>
      <xdr:rowOff>85725</xdr:rowOff>
    </xdr:to>
    <xdr:sp macro="" textlink="">
      <xdr:nvSpPr>
        <xdr:cNvPr id="1103" name="AutoShape 4">
          <a:extLst>
            <a:ext uri="{FF2B5EF4-FFF2-40B4-BE49-F238E27FC236}">
              <a16:creationId xmlns:a16="http://schemas.microsoft.com/office/drawing/2014/main" id="{00000000-0008-0000-0200-00004F040000}"/>
            </a:ext>
          </a:extLst>
        </xdr:cNvPr>
        <xdr:cNvSpPr>
          <a:spLocks/>
        </xdr:cNvSpPr>
      </xdr:nvSpPr>
      <xdr:spPr bwMode="auto">
        <a:xfrm>
          <a:off x="5057775" y="1485900"/>
          <a:ext cx="114300" cy="561975"/>
        </a:xfrm>
        <a:prstGeom prst="rightBrace">
          <a:avLst>
            <a:gd name="adj1" fmla="val 40972"/>
            <a:gd name="adj2" fmla="val 40676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6715" cy="607317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A280EDD-A3BB-C4D9-62EF-D4919A146EC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26"/>
  <sheetViews>
    <sheetView showGridLines="0" zoomScaleNormal="100" workbookViewId="0">
      <selection activeCell="B10" sqref="B10:B24"/>
    </sheetView>
  </sheetViews>
  <sheetFormatPr baseColWidth="10" defaultColWidth="11.46484375" defaultRowHeight="10.15" x14ac:dyDescent="0.3"/>
  <cols>
    <col min="1" max="1" width="5.53125" style="19" customWidth="1"/>
    <col min="2" max="7" width="6.53125" style="19" customWidth="1"/>
    <col min="8" max="8" width="11.796875" style="19" customWidth="1"/>
    <col min="9" max="14" width="6.53125" style="19" customWidth="1"/>
    <col min="15" max="16384" width="11.46484375" style="56"/>
  </cols>
  <sheetData>
    <row r="1" spans="1:18" s="23" customFormat="1" ht="11.65" x14ac:dyDescent="0.35">
      <c r="A1" s="20" t="s">
        <v>114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70" t="s">
        <v>100</v>
      </c>
    </row>
    <row r="2" spans="1:18" s="24" customFormat="1" ht="11.65" x14ac:dyDescent="0.3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3" spans="1:18" s="27" customFormat="1" ht="22.5" customHeight="1" x14ac:dyDescent="0.3">
      <c r="A3" s="73"/>
      <c r="B3" s="74" t="s">
        <v>108</v>
      </c>
      <c r="C3" s="75"/>
      <c r="D3" s="75"/>
      <c r="E3" s="75"/>
      <c r="F3" s="75"/>
      <c r="G3" s="76"/>
      <c r="H3" s="77" t="s">
        <v>78</v>
      </c>
      <c r="I3" s="74" t="s">
        <v>76</v>
      </c>
      <c r="J3" s="75"/>
      <c r="K3" s="75"/>
      <c r="L3" s="75"/>
      <c r="M3" s="75"/>
      <c r="N3" s="76"/>
    </row>
    <row r="4" spans="1:18" s="27" customFormat="1" ht="22.5" customHeight="1" x14ac:dyDescent="0.3">
      <c r="A4" s="78"/>
      <c r="B4" s="79"/>
      <c r="C4" s="80"/>
      <c r="D4" s="80"/>
      <c r="E4" s="80"/>
      <c r="F4" s="80"/>
      <c r="G4" s="81"/>
      <c r="H4" s="82" t="s">
        <v>109</v>
      </c>
      <c r="I4" s="79"/>
      <c r="J4" s="80"/>
      <c r="K4" s="80"/>
      <c r="L4" s="80"/>
      <c r="M4" s="80"/>
      <c r="N4" s="81"/>
    </row>
    <row r="5" spans="1:18" s="27" customFormat="1" ht="4.05" customHeight="1" x14ac:dyDescent="0.3">
      <c r="A5" s="132"/>
      <c r="B5" s="123" t="s">
        <v>75</v>
      </c>
      <c r="C5" s="124"/>
      <c r="D5" s="125"/>
      <c r="E5" s="123" t="s">
        <v>74</v>
      </c>
      <c r="F5" s="124"/>
      <c r="G5" s="124"/>
      <c r="H5" s="134" t="s">
        <v>77</v>
      </c>
      <c r="I5" s="123" t="s">
        <v>75</v>
      </c>
      <c r="J5" s="124"/>
      <c r="K5" s="125"/>
      <c r="L5" s="123" t="s">
        <v>74</v>
      </c>
      <c r="M5" s="124"/>
      <c r="N5" s="125"/>
    </row>
    <row r="6" spans="1:18" s="30" customFormat="1" ht="24.75" customHeight="1" x14ac:dyDescent="0.35">
      <c r="A6" s="133"/>
      <c r="B6" s="126"/>
      <c r="C6" s="127"/>
      <c r="D6" s="128"/>
      <c r="E6" s="126"/>
      <c r="F6" s="127"/>
      <c r="G6" s="127"/>
      <c r="H6" s="135"/>
      <c r="I6" s="126"/>
      <c r="J6" s="127"/>
      <c r="K6" s="128"/>
      <c r="L6" s="126"/>
      <c r="M6" s="127"/>
      <c r="N6" s="128"/>
    </row>
    <row r="7" spans="1:18" s="27" customFormat="1" ht="4.05" customHeight="1" x14ac:dyDescent="0.3">
      <c r="A7" s="133"/>
      <c r="B7" s="129"/>
      <c r="C7" s="130"/>
      <c r="D7" s="131"/>
      <c r="E7" s="129"/>
      <c r="F7" s="130"/>
      <c r="G7" s="130"/>
      <c r="H7" s="135"/>
      <c r="I7" s="129"/>
      <c r="J7" s="130"/>
      <c r="K7" s="131"/>
      <c r="L7" s="129"/>
      <c r="M7" s="130"/>
      <c r="N7" s="131"/>
    </row>
    <row r="8" spans="1:18" s="27" customFormat="1" ht="12" customHeight="1" x14ac:dyDescent="0.3">
      <c r="A8" s="83" t="s">
        <v>0</v>
      </c>
      <c r="B8" s="104" t="s">
        <v>5</v>
      </c>
      <c r="C8" s="84" t="s">
        <v>3</v>
      </c>
      <c r="D8" s="84" t="s">
        <v>4</v>
      </c>
      <c r="E8" s="104" t="s">
        <v>5</v>
      </c>
      <c r="F8" s="84" t="s">
        <v>3</v>
      </c>
      <c r="G8" s="84" t="s">
        <v>4</v>
      </c>
      <c r="H8" s="136"/>
      <c r="I8" s="104" t="s">
        <v>5</v>
      </c>
      <c r="J8" s="84" t="s">
        <v>3</v>
      </c>
      <c r="K8" s="84" t="s">
        <v>4</v>
      </c>
      <c r="L8" s="104" t="s">
        <v>5</v>
      </c>
      <c r="M8" s="84" t="s">
        <v>3</v>
      </c>
      <c r="N8" s="85" t="s">
        <v>4</v>
      </c>
    </row>
    <row r="9" spans="1:18" s="27" customFormat="1" ht="7.05" customHeight="1" x14ac:dyDescent="0.3">
      <c r="A9" s="78"/>
      <c r="B9" s="101"/>
      <c r="C9" s="102"/>
      <c r="D9" s="102"/>
      <c r="E9" s="101"/>
      <c r="F9" s="102"/>
      <c r="G9" s="102"/>
      <c r="H9" s="103"/>
      <c r="I9" s="101"/>
      <c r="J9" s="102"/>
      <c r="K9" s="102"/>
      <c r="L9" s="101"/>
      <c r="M9" s="102"/>
      <c r="N9" s="102"/>
    </row>
    <row r="10" spans="1:18" ht="16.5" customHeight="1" x14ac:dyDescent="0.3">
      <c r="A10" s="87" t="s">
        <v>101</v>
      </c>
      <c r="B10" s="88">
        <v>2284</v>
      </c>
      <c r="C10" s="89">
        <v>2150</v>
      </c>
      <c r="D10" s="89">
        <v>2579</v>
      </c>
      <c r="E10" s="90">
        <v>0.8</v>
      </c>
      <c r="F10" s="91">
        <v>0.7</v>
      </c>
      <c r="G10" s="91">
        <v>1.1000000000000001</v>
      </c>
      <c r="H10" s="92">
        <v>0.7</v>
      </c>
      <c r="I10" s="88">
        <v>298</v>
      </c>
      <c r="J10" s="89">
        <v>280</v>
      </c>
      <c r="K10" s="89">
        <v>336</v>
      </c>
      <c r="L10" s="90">
        <v>0.1</v>
      </c>
      <c r="M10" s="91">
        <v>0</v>
      </c>
      <c r="N10" s="91">
        <v>0.4</v>
      </c>
    </row>
    <row r="11" spans="1:18" s="37" customFormat="1" ht="16.5" customHeight="1" x14ac:dyDescent="0.35">
      <c r="A11" s="87" t="s">
        <v>102</v>
      </c>
      <c r="B11" s="88">
        <v>2306</v>
      </c>
      <c r="C11" s="89">
        <v>2171</v>
      </c>
      <c r="D11" s="89">
        <v>2604</v>
      </c>
      <c r="E11" s="93">
        <v>1</v>
      </c>
      <c r="F11" s="94">
        <v>1</v>
      </c>
      <c r="G11" s="94">
        <v>1</v>
      </c>
      <c r="H11" s="92">
        <v>0.2</v>
      </c>
      <c r="I11" s="88">
        <v>301</v>
      </c>
      <c r="J11" s="89">
        <v>282</v>
      </c>
      <c r="K11" s="89">
        <v>338</v>
      </c>
      <c r="L11" s="95">
        <v>0.7</v>
      </c>
      <c r="M11" s="91">
        <v>0.7</v>
      </c>
      <c r="N11" s="91">
        <v>0.7</v>
      </c>
      <c r="O11" s="69"/>
      <c r="P11" s="69"/>
      <c r="Q11" s="66"/>
      <c r="R11" s="66"/>
    </row>
    <row r="12" spans="1:18" s="37" customFormat="1" ht="16.5" customHeight="1" x14ac:dyDescent="0.35">
      <c r="A12" s="87" t="s">
        <v>91</v>
      </c>
      <c r="B12" s="88">
        <v>2326</v>
      </c>
      <c r="C12" s="89">
        <v>2188</v>
      </c>
      <c r="D12" s="89">
        <v>2630</v>
      </c>
      <c r="E12" s="90">
        <v>0.8</v>
      </c>
      <c r="F12" s="91">
        <v>0.8</v>
      </c>
      <c r="G12" s="91">
        <v>1</v>
      </c>
      <c r="H12" s="92">
        <v>-0.7</v>
      </c>
      <c r="I12" s="88">
        <v>305</v>
      </c>
      <c r="J12" s="89">
        <v>286</v>
      </c>
      <c r="K12" s="89">
        <v>344</v>
      </c>
      <c r="L12" s="95">
        <v>1.5</v>
      </c>
      <c r="M12" s="91">
        <v>1.5</v>
      </c>
      <c r="N12" s="91">
        <v>1.7</v>
      </c>
      <c r="O12" s="69"/>
      <c r="P12" s="69"/>
    </row>
    <row r="13" spans="1:18" s="37" customFormat="1" ht="16.5" customHeight="1" x14ac:dyDescent="0.35">
      <c r="A13" s="87" t="s">
        <v>92</v>
      </c>
      <c r="B13" s="88">
        <v>2343</v>
      </c>
      <c r="C13" s="89">
        <v>2204</v>
      </c>
      <c r="D13" s="89">
        <v>2648</v>
      </c>
      <c r="E13" s="90">
        <v>0.7</v>
      </c>
      <c r="F13" s="91">
        <v>0.8</v>
      </c>
      <c r="G13" s="91">
        <v>0.7</v>
      </c>
      <c r="H13" s="92">
        <v>-0.2</v>
      </c>
      <c r="I13" s="88">
        <v>308</v>
      </c>
      <c r="J13" s="89">
        <v>289</v>
      </c>
      <c r="K13" s="89">
        <v>347</v>
      </c>
      <c r="L13" s="95">
        <v>1</v>
      </c>
      <c r="M13" s="91">
        <v>1</v>
      </c>
      <c r="N13" s="91">
        <v>0.9</v>
      </c>
      <c r="O13" s="69"/>
      <c r="P13" s="69"/>
    </row>
    <row r="14" spans="1:18" s="37" customFormat="1" ht="16.5" customHeight="1" x14ac:dyDescent="0.35">
      <c r="A14" s="87" t="s">
        <v>95</v>
      </c>
      <c r="B14" s="88">
        <v>2361</v>
      </c>
      <c r="C14" s="89">
        <v>2220</v>
      </c>
      <c r="D14" s="89">
        <v>2673</v>
      </c>
      <c r="E14" s="90">
        <v>0.8</v>
      </c>
      <c r="F14" s="91">
        <v>0.7</v>
      </c>
      <c r="G14" s="91">
        <v>1</v>
      </c>
      <c r="H14" s="92">
        <v>-1.32E-2</v>
      </c>
      <c r="I14" s="88">
        <v>311</v>
      </c>
      <c r="J14" s="89">
        <v>291</v>
      </c>
      <c r="K14" s="89">
        <v>351</v>
      </c>
      <c r="L14" s="95">
        <v>0.8</v>
      </c>
      <c r="M14" s="91">
        <v>0.7</v>
      </c>
      <c r="N14" s="91">
        <v>1</v>
      </c>
      <c r="O14" s="69"/>
      <c r="P14" s="69"/>
    </row>
    <row r="15" spans="1:18" s="37" customFormat="1" ht="16.5" customHeight="1" x14ac:dyDescent="0.35">
      <c r="A15" s="87" t="s">
        <v>96</v>
      </c>
      <c r="B15" s="88">
        <v>2370</v>
      </c>
      <c r="C15" s="89">
        <v>2226</v>
      </c>
      <c r="D15" s="89">
        <v>2686</v>
      </c>
      <c r="E15" s="90">
        <v>0.4</v>
      </c>
      <c r="F15" s="91">
        <v>0.3</v>
      </c>
      <c r="G15" s="91">
        <v>0.5</v>
      </c>
      <c r="H15" s="92">
        <v>-1.1438999999999999</v>
      </c>
      <c r="I15" s="88">
        <v>315</v>
      </c>
      <c r="J15" s="89">
        <v>296</v>
      </c>
      <c r="K15" s="89">
        <v>357</v>
      </c>
      <c r="L15" s="95">
        <v>1.5</v>
      </c>
      <c r="M15" s="91">
        <v>1.5</v>
      </c>
      <c r="N15" s="91">
        <v>1.7</v>
      </c>
      <c r="O15" s="69"/>
      <c r="P15" s="69"/>
    </row>
    <row r="16" spans="1:18" s="37" customFormat="1" ht="16.5" customHeight="1" x14ac:dyDescent="0.35">
      <c r="A16" s="87" t="s">
        <v>103</v>
      </c>
      <c r="B16" s="88">
        <v>2386</v>
      </c>
      <c r="C16" s="89">
        <v>2239</v>
      </c>
      <c r="D16" s="89">
        <v>2709</v>
      </c>
      <c r="E16" s="90">
        <v>0.7</v>
      </c>
      <c r="F16" s="91">
        <v>0.6</v>
      </c>
      <c r="G16" s="91">
        <v>0.8</v>
      </c>
      <c r="H16" s="92">
        <v>-0.43459999999999999</v>
      </c>
      <c r="I16" s="88">
        <v>319</v>
      </c>
      <c r="J16" s="89">
        <v>299</v>
      </c>
      <c r="K16" s="89">
        <v>361</v>
      </c>
      <c r="L16" s="95">
        <v>1.1000000000000001</v>
      </c>
      <c r="M16" s="91">
        <v>1</v>
      </c>
      <c r="N16" s="91">
        <v>1.3</v>
      </c>
      <c r="O16" s="69"/>
      <c r="P16" s="69"/>
    </row>
    <row r="17" spans="1:16" s="37" customFormat="1" ht="16.5" customHeight="1" x14ac:dyDescent="0.35">
      <c r="A17" s="87" t="s">
        <v>97</v>
      </c>
      <c r="B17" s="88">
        <v>2395</v>
      </c>
      <c r="C17" s="89">
        <v>2249</v>
      </c>
      <c r="D17" s="89">
        <v>2719</v>
      </c>
      <c r="E17" s="90">
        <v>0.4</v>
      </c>
      <c r="F17" s="91">
        <v>0.4</v>
      </c>
      <c r="G17" s="91">
        <v>0.4</v>
      </c>
      <c r="H17" s="92">
        <v>0.5</v>
      </c>
      <c r="I17" s="88">
        <v>318</v>
      </c>
      <c r="J17" s="89">
        <v>298</v>
      </c>
      <c r="K17" s="89">
        <v>361</v>
      </c>
      <c r="L17" s="95">
        <v>-0.1</v>
      </c>
      <c r="M17" s="91">
        <v>-0.1</v>
      </c>
      <c r="N17" s="91">
        <v>-0.2</v>
      </c>
      <c r="O17" s="69"/>
      <c r="P17" s="69"/>
    </row>
    <row r="18" spans="1:16" s="37" customFormat="1" ht="16.5" customHeight="1" x14ac:dyDescent="0.35">
      <c r="A18" s="87" t="s">
        <v>104</v>
      </c>
      <c r="B18" s="88">
        <v>2407</v>
      </c>
      <c r="C18" s="89">
        <v>2260</v>
      </c>
      <c r="D18" s="89">
        <v>2732</v>
      </c>
      <c r="E18" s="90">
        <v>0.5</v>
      </c>
      <c r="F18" s="91">
        <v>0.5</v>
      </c>
      <c r="G18" s="91">
        <v>0.5</v>
      </c>
      <c r="H18" s="92">
        <v>0.9</v>
      </c>
      <c r="I18" s="88">
        <v>317</v>
      </c>
      <c r="J18" s="89">
        <v>297</v>
      </c>
      <c r="K18" s="89">
        <v>359</v>
      </c>
      <c r="L18" s="95">
        <v>-0.4</v>
      </c>
      <c r="M18" s="91">
        <v>-0.4</v>
      </c>
      <c r="N18" s="91">
        <v>-0.5</v>
      </c>
      <c r="O18" s="69"/>
      <c r="P18" s="69"/>
    </row>
    <row r="19" spans="1:16" s="37" customFormat="1" ht="16.5" customHeight="1" x14ac:dyDescent="0.35">
      <c r="A19" s="87" t="s">
        <v>105</v>
      </c>
      <c r="B19" s="88">
        <v>2429</v>
      </c>
      <c r="C19" s="89">
        <v>2279</v>
      </c>
      <c r="D19" s="89">
        <v>2759</v>
      </c>
      <c r="E19" s="90">
        <v>0.9</v>
      </c>
      <c r="F19" s="91">
        <v>0.9</v>
      </c>
      <c r="G19" s="91">
        <v>1</v>
      </c>
      <c r="H19" s="92">
        <v>0.4</v>
      </c>
      <c r="I19" s="88">
        <v>319</v>
      </c>
      <c r="J19" s="89">
        <v>298</v>
      </c>
      <c r="K19" s="89">
        <v>361</v>
      </c>
      <c r="L19" s="95">
        <v>0.5</v>
      </c>
      <c r="M19" s="91">
        <v>0.5</v>
      </c>
      <c r="N19" s="91">
        <v>0.6</v>
      </c>
      <c r="O19" s="69"/>
      <c r="P19" s="69"/>
    </row>
    <row r="20" spans="1:16" s="37" customFormat="1" ht="16.5" customHeight="1" x14ac:dyDescent="0.35">
      <c r="A20" s="87" t="s">
        <v>110</v>
      </c>
      <c r="B20" s="88">
        <v>2449</v>
      </c>
      <c r="C20" s="89">
        <v>2298</v>
      </c>
      <c r="D20" s="89">
        <v>2784</v>
      </c>
      <c r="E20" s="90">
        <v>0.8</v>
      </c>
      <c r="F20" s="91">
        <v>0.8</v>
      </c>
      <c r="G20" s="91">
        <v>0.9</v>
      </c>
      <c r="H20" s="92">
        <v>-0.7</v>
      </c>
      <c r="I20" s="88">
        <v>324</v>
      </c>
      <c r="J20" s="89">
        <v>303</v>
      </c>
      <c r="K20" s="89">
        <v>367</v>
      </c>
      <c r="L20" s="95">
        <v>1.5</v>
      </c>
      <c r="M20" s="91">
        <v>1.5</v>
      </c>
      <c r="N20" s="91">
        <v>1.6</v>
      </c>
      <c r="O20" s="69"/>
      <c r="P20" s="69"/>
    </row>
    <row r="21" spans="1:16" s="37" customFormat="1" ht="16.5" customHeight="1" x14ac:dyDescent="0.35">
      <c r="A21" s="87" t="s">
        <v>111</v>
      </c>
      <c r="B21" s="88">
        <v>2445</v>
      </c>
      <c r="C21" s="89">
        <v>2281</v>
      </c>
      <c r="D21" s="89">
        <v>2801</v>
      </c>
      <c r="E21" s="90">
        <v>-0.2</v>
      </c>
      <c r="F21" s="91">
        <v>-0.7</v>
      </c>
      <c r="G21" s="91">
        <v>0.6</v>
      </c>
      <c r="H21" s="92">
        <v>0.6</v>
      </c>
      <c r="I21" s="88">
        <v>321</v>
      </c>
      <c r="J21" s="89">
        <v>299</v>
      </c>
      <c r="K21" s="89">
        <v>367</v>
      </c>
      <c r="L21" s="95">
        <v>-0.8</v>
      </c>
      <c r="M21" s="91">
        <v>-1.3</v>
      </c>
      <c r="N21" s="91">
        <v>0</v>
      </c>
      <c r="O21" s="100"/>
      <c r="P21" s="69"/>
    </row>
    <row r="22" spans="1:16" s="37" customFormat="1" ht="16.5" customHeight="1" x14ac:dyDescent="0.35">
      <c r="A22" s="87">
        <v>2022</v>
      </c>
      <c r="B22" s="88">
        <v>2468</v>
      </c>
      <c r="C22" s="89">
        <v>2305</v>
      </c>
      <c r="D22" s="89">
        <v>2822</v>
      </c>
      <c r="E22" s="90">
        <v>0.9</v>
      </c>
      <c r="F22" s="91">
        <v>1.1000000000000001</v>
      </c>
      <c r="G22" s="91">
        <v>0.8</v>
      </c>
      <c r="H22" s="92">
        <v>2.8</v>
      </c>
      <c r="I22" s="88">
        <v>315</v>
      </c>
      <c r="J22" s="89">
        <v>294</v>
      </c>
      <c r="K22" s="89">
        <v>360</v>
      </c>
      <c r="L22" s="95">
        <v>-1.9</v>
      </c>
      <c r="M22" s="91">
        <v>-1.7</v>
      </c>
      <c r="N22" s="91">
        <v>-2</v>
      </c>
      <c r="O22" s="100"/>
      <c r="P22" s="69"/>
    </row>
    <row r="23" spans="1:16" s="37" customFormat="1" ht="16.5" customHeight="1" x14ac:dyDescent="0.35">
      <c r="A23" s="87">
        <v>2023</v>
      </c>
      <c r="B23" s="88">
        <v>2510</v>
      </c>
      <c r="C23" s="89">
        <v>2343</v>
      </c>
      <c r="D23" s="89">
        <v>2872</v>
      </c>
      <c r="E23" s="90">
        <v>1.7</v>
      </c>
      <c r="F23" s="91">
        <v>1.7</v>
      </c>
      <c r="G23" s="91">
        <v>1.8</v>
      </c>
      <c r="H23" s="92">
        <v>2.1</v>
      </c>
      <c r="I23" s="88">
        <v>314</v>
      </c>
      <c r="J23" s="89">
        <v>293</v>
      </c>
      <c r="K23" s="89">
        <v>359</v>
      </c>
      <c r="L23" s="95">
        <v>-0.4</v>
      </c>
      <c r="M23" s="91">
        <v>-0.4</v>
      </c>
      <c r="N23" s="91">
        <v>-0.3</v>
      </c>
      <c r="O23" s="100"/>
      <c r="P23" s="69"/>
    </row>
    <row r="24" spans="1:16" s="53" customFormat="1" ht="16.5" customHeight="1" x14ac:dyDescent="0.3">
      <c r="A24" s="87">
        <v>2024</v>
      </c>
      <c r="B24" s="88">
        <v>2555</v>
      </c>
      <c r="C24" s="89">
        <v>2372</v>
      </c>
      <c r="D24" s="89">
        <v>2946</v>
      </c>
      <c r="E24" s="90">
        <v>1.8</v>
      </c>
      <c r="F24" s="91">
        <v>1.2</v>
      </c>
      <c r="G24" s="91">
        <v>2.6</v>
      </c>
      <c r="H24" s="92">
        <v>1.1000000000000001</v>
      </c>
      <c r="I24" s="88">
        <v>316</v>
      </c>
      <c r="J24" s="89">
        <v>293</v>
      </c>
      <c r="K24" s="89">
        <v>364</v>
      </c>
      <c r="L24" s="95">
        <v>0.7</v>
      </c>
      <c r="M24" s="91">
        <v>0.1</v>
      </c>
      <c r="N24" s="91">
        <v>1.5</v>
      </c>
    </row>
    <row r="25" spans="1:16" s="53" customFormat="1" x14ac:dyDescent="0.3">
      <c r="B25" s="96"/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</row>
    <row r="26" spans="1:16" s="53" customFormat="1" x14ac:dyDescent="0.3">
      <c r="A26" s="96" t="s">
        <v>112</v>
      </c>
      <c r="B26" s="96"/>
      <c r="C26" s="96"/>
      <c r="D26" s="96"/>
      <c r="E26" s="96"/>
      <c r="F26" s="96"/>
      <c r="G26" s="96"/>
      <c r="H26" s="96"/>
      <c r="I26" s="96"/>
      <c r="J26" s="96"/>
      <c r="K26" s="96"/>
      <c r="L26" s="96"/>
      <c r="M26" s="96"/>
      <c r="N26" s="96"/>
    </row>
    <row r="27" spans="1:16" s="58" customFormat="1" x14ac:dyDescent="0.3">
      <c r="A27" s="96" t="s">
        <v>113</v>
      </c>
      <c r="B27" s="96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</row>
    <row r="28" spans="1:16" s="58" customFormat="1" x14ac:dyDescent="0.3">
      <c r="A28" s="97" t="s">
        <v>79</v>
      </c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</row>
    <row r="29" spans="1:16" x14ac:dyDescent="0.3">
      <c r="A29" s="71"/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</row>
    <row r="30" spans="1:16" x14ac:dyDescent="0.3">
      <c r="A30" s="71" t="s">
        <v>107</v>
      </c>
      <c r="B30" s="97"/>
      <c r="C30" s="97"/>
      <c r="D30" s="97"/>
      <c r="E30" s="97"/>
      <c r="F30" s="97"/>
      <c r="G30" s="97"/>
      <c r="H30" s="97"/>
      <c r="I30" s="98"/>
      <c r="J30" s="99"/>
      <c r="K30" s="97"/>
      <c r="L30" s="97"/>
      <c r="M30" s="97"/>
      <c r="N30" s="86"/>
    </row>
    <row r="31" spans="1:16" x14ac:dyDescent="0.3">
      <c r="A31" s="72" t="s">
        <v>115</v>
      </c>
      <c r="B31" s="97"/>
      <c r="C31" s="97"/>
      <c r="D31" s="97"/>
      <c r="E31" s="97"/>
      <c r="F31" s="97"/>
      <c r="G31" s="97"/>
      <c r="H31" s="97"/>
      <c r="I31" s="98"/>
      <c r="J31" s="99"/>
      <c r="K31" s="97"/>
      <c r="L31" s="97"/>
      <c r="M31" s="97"/>
      <c r="N31" s="97"/>
    </row>
    <row r="32" spans="1:16" x14ac:dyDescent="0.3">
      <c r="A32" s="72"/>
      <c r="B32" s="97"/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</row>
    <row r="33" spans="1:14" x14ac:dyDescent="0.3">
      <c r="A33" s="71" t="s">
        <v>106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</row>
    <row r="34" spans="1:14" x14ac:dyDescent="0.3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</row>
    <row r="35" spans="1:14" x14ac:dyDescent="0.3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</row>
    <row r="36" spans="1:14" x14ac:dyDescent="0.3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</row>
    <row r="37" spans="1:14" x14ac:dyDescent="0.3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</row>
    <row r="38" spans="1:14" x14ac:dyDescent="0.3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</row>
    <row r="39" spans="1:14" x14ac:dyDescent="0.3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14" x14ac:dyDescent="0.3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</row>
    <row r="41" spans="1:14" x14ac:dyDescent="0.3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</row>
    <row r="42" spans="1:14" x14ac:dyDescent="0.3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</row>
    <row r="43" spans="1:14" x14ac:dyDescent="0.3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</row>
    <row r="44" spans="1:14" x14ac:dyDescent="0.3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</row>
    <row r="45" spans="1:14" x14ac:dyDescent="0.3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</row>
    <row r="46" spans="1:14" x14ac:dyDescent="0.3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</row>
    <row r="47" spans="1:14" x14ac:dyDescent="0.3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</row>
    <row r="48" spans="1:14" x14ac:dyDescent="0.3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</row>
    <row r="49" spans="1:14" x14ac:dyDescent="0.3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</row>
    <row r="50" spans="1:14" x14ac:dyDescent="0.3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</row>
    <row r="51" spans="1:14" x14ac:dyDescent="0.3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14" x14ac:dyDescent="0.3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</row>
    <row r="53" spans="1:14" x14ac:dyDescent="0.3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</row>
    <row r="54" spans="1:14" x14ac:dyDescent="0.3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</row>
    <row r="55" spans="1:14" x14ac:dyDescent="0.3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14" x14ac:dyDescent="0.3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</row>
    <row r="57" spans="1:14" x14ac:dyDescent="0.3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</row>
    <row r="58" spans="1:14" x14ac:dyDescent="0.3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</row>
    <row r="59" spans="1:14" x14ac:dyDescent="0.3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</row>
    <row r="60" spans="1:14" x14ac:dyDescent="0.3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</row>
    <row r="61" spans="1:14" x14ac:dyDescent="0.3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</row>
    <row r="62" spans="1:14" x14ac:dyDescent="0.3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</row>
    <row r="63" spans="1:14" x14ac:dyDescent="0.3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</row>
    <row r="64" spans="1:14" x14ac:dyDescent="0.3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</row>
    <row r="65" spans="1:14" x14ac:dyDescent="0.3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</row>
    <row r="66" spans="1:14" x14ac:dyDescent="0.3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</row>
    <row r="67" spans="1:14" x14ac:dyDescent="0.3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</row>
    <row r="68" spans="1:14" x14ac:dyDescent="0.3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</row>
    <row r="69" spans="1:14" x14ac:dyDescent="0.3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</row>
    <row r="70" spans="1:14" x14ac:dyDescent="0.3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</row>
    <row r="71" spans="1:14" x14ac:dyDescent="0.3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</row>
    <row r="72" spans="1:14" x14ac:dyDescent="0.3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</row>
    <row r="73" spans="1:14" x14ac:dyDescent="0.3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</row>
    <row r="74" spans="1:14" x14ac:dyDescent="0.3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</row>
    <row r="75" spans="1:14" x14ac:dyDescent="0.3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</row>
    <row r="76" spans="1:14" x14ac:dyDescent="0.3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</row>
    <row r="77" spans="1:14" x14ac:dyDescent="0.3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</row>
    <row r="78" spans="1:14" x14ac:dyDescent="0.3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</row>
    <row r="79" spans="1:14" x14ac:dyDescent="0.3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</row>
    <row r="80" spans="1:14" x14ac:dyDescent="0.3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</row>
    <row r="81" spans="1:14" x14ac:dyDescent="0.3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</row>
    <row r="82" spans="1:14" x14ac:dyDescent="0.3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</row>
    <row r="83" spans="1:14" x14ac:dyDescent="0.3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</row>
    <row r="84" spans="1:14" x14ac:dyDescent="0.3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</row>
    <row r="85" spans="1:14" x14ac:dyDescent="0.3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</row>
    <row r="86" spans="1:14" x14ac:dyDescent="0.3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</row>
    <row r="87" spans="1:14" x14ac:dyDescent="0.3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</row>
    <row r="88" spans="1:14" x14ac:dyDescent="0.3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</row>
    <row r="89" spans="1:14" x14ac:dyDescent="0.3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</row>
    <row r="90" spans="1:14" x14ac:dyDescent="0.3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</row>
    <row r="91" spans="1:14" x14ac:dyDescent="0.3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</row>
    <row r="92" spans="1:14" x14ac:dyDescent="0.3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</row>
    <row r="93" spans="1:14" x14ac:dyDescent="0.3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</row>
    <row r="94" spans="1:14" x14ac:dyDescent="0.3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</row>
    <row r="95" spans="1:14" x14ac:dyDescent="0.3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</row>
    <row r="96" spans="1:14" x14ac:dyDescent="0.3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</row>
    <row r="97" spans="1:14" x14ac:dyDescent="0.3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</row>
    <row r="98" spans="1:14" x14ac:dyDescent="0.3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</row>
    <row r="99" spans="1:14" x14ac:dyDescent="0.3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</row>
    <row r="100" spans="1:14" x14ac:dyDescent="0.3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</row>
    <row r="101" spans="1:14" x14ac:dyDescent="0.3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</row>
    <row r="102" spans="1:14" x14ac:dyDescent="0.3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</row>
    <row r="103" spans="1:14" x14ac:dyDescent="0.3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</row>
    <row r="104" spans="1:14" x14ac:dyDescent="0.3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</row>
    <row r="105" spans="1:14" x14ac:dyDescent="0.3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</row>
    <row r="106" spans="1:14" x14ac:dyDescent="0.3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</row>
    <row r="107" spans="1:14" x14ac:dyDescent="0.3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</row>
    <row r="108" spans="1:14" x14ac:dyDescent="0.3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</row>
    <row r="109" spans="1:14" x14ac:dyDescent="0.3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</row>
    <row r="110" spans="1:14" x14ac:dyDescent="0.3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</row>
    <row r="111" spans="1:14" x14ac:dyDescent="0.3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</row>
    <row r="112" spans="1:14" x14ac:dyDescent="0.3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</row>
    <row r="113" spans="1:14" x14ac:dyDescent="0.3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</row>
    <row r="114" spans="1:14" x14ac:dyDescent="0.3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</row>
    <row r="115" spans="1:14" x14ac:dyDescent="0.3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</row>
    <row r="116" spans="1:14" x14ac:dyDescent="0.3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</row>
    <row r="117" spans="1:14" x14ac:dyDescent="0.3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</row>
    <row r="118" spans="1:14" x14ac:dyDescent="0.3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</row>
    <row r="119" spans="1:14" x14ac:dyDescent="0.3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</row>
    <row r="120" spans="1:14" x14ac:dyDescent="0.3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</row>
    <row r="121" spans="1:14" x14ac:dyDescent="0.3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</row>
    <row r="122" spans="1:14" x14ac:dyDescent="0.3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</row>
    <row r="123" spans="1:14" x14ac:dyDescent="0.3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</row>
    <row r="124" spans="1:14" x14ac:dyDescent="0.3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</row>
    <row r="125" spans="1:14" x14ac:dyDescent="0.3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</row>
    <row r="126" spans="1:14" x14ac:dyDescent="0.3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</row>
    <row r="127" spans="1:14" x14ac:dyDescent="0.3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</row>
    <row r="128" spans="1:14" x14ac:dyDescent="0.3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</row>
    <row r="129" spans="1:14" x14ac:dyDescent="0.3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</row>
    <row r="130" spans="1:14" x14ac:dyDescent="0.3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</row>
    <row r="131" spans="1:14" x14ac:dyDescent="0.3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</row>
    <row r="132" spans="1:14" x14ac:dyDescent="0.3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</row>
    <row r="133" spans="1:14" x14ac:dyDescent="0.3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</row>
    <row r="134" spans="1:14" x14ac:dyDescent="0.3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</row>
    <row r="135" spans="1:14" x14ac:dyDescent="0.3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</row>
    <row r="136" spans="1:14" x14ac:dyDescent="0.3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</row>
    <row r="137" spans="1:14" x14ac:dyDescent="0.3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</row>
    <row r="138" spans="1:14" x14ac:dyDescent="0.3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</row>
    <row r="139" spans="1:14" x14ac:dyDescent="0.3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</row>
    <row r="140" spans="1:14" x14ac:dyDescent="0.3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</row>
    <row r="141" spans="1:14" x14ac:dyDescent="0.3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</row>
    <row r="142" spans="1:14" x14ac:dyDescent="0.3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</row>
    <row r="143" spans="1:14" x14ac:dyDescent="0.3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</row>
    <row r="144" spans="1:14" x14ac:dyDescent="0.3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</row>
    <row r="145" spans="1:14" x14ac:dyDescent="0.3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</row>
    <row r="146" spans="1:14" x14ac:dyDescent="0.3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</row>
    <row r="147" spans="1:14" x14ac:dyDescent="0.3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</row>
    <row r="148" spans="1:14" x14ac:dyDescent="0.3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</row>
    <row r="149" spans="1:14" x14ac:dyDescent="0.3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</row>
    <row r="150" spans="1:14" x14ac:dyDescent="0.3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</row>
    <row r="151" spans="1:14" x14ac:dyDescent="0.3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</row>
    <row r="152" spans="1:14" x14ac:dyDescent="0.3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</row>
    <row r="153" spans="1:14" x14ac:dyDescent="0.3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</row>
    <row r="154" spans="1:14" x14ac:dyDescent="0.3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</row>
    <row r="155" spans="1:14" x14ac:dyDescent="0.3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</row>
    <row r="156" spans="1:14" x14ac:dyDescent="0.3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</row>
    <row r="157" spans="1:14" x14ac:dyDescent="0.3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</row>
    <row r="158" spans="1:14" x14ac:dyDescent="0.3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</row>
    <row r="159" spans="1:14" x14ac:dyDescent="0.3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</row>
    <row r="160" spans="1:14" x14ac:dyDescent="0.3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</row>
    <row r="161" spans="1:14" x14ac:dyDescent="0.3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</row>
    <row r="162" spans="1:14" x14ac:dyDescent="0.3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</row>
    <row r="163" spans="1:14" x14ac:dyDescent="0.3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</row>
    <row r="164" spans="1:14" x14ac:dyDescent="0.3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</row>
    <row r="165" spans="1:14" x14ac:dyDescent="0.3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</row>
    <row r="166" spans="1:14" x14ac:dyDescent="0.3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</row>
    <row r="167" spans="1:14" x14ac:dyDescent="0.3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</row>
    <row r="168" spans="1:14" x14ac:dyDescent="0.3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</row>
    <row r="169" spans="1:14" x14ac:dyDescent="0.3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</row>
    <row r="170" spans="1:14" x14ac:dyDescent="0.3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</row>
    <row r="171" spans="1:14" x14ac:dyDescent="0.3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</row>
    <row r="172" spans="1:14" x14ac:dyDescent="0.3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</row>
    <row r="173" spans="1:14" x14ac:dyDescent="0.3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</row>
    <row r="174" spans="1:14" x14ac:dyDescent="0.3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</row>
    <row r="175" spans="1:14" x14ac:dyDescent="0.3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</row>
    <row r="176" spans="1:14" x14ac:dyDescent="0.3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</row>
    <row r="177" spans="1:14" x14ac:dyDescent="0.3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</row>
    <row r="178" spans="1:14" x14ac:dyDescent="0.3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</row>
    <row r="179" spans="1:14" x14ac:dyDescent="0.3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</row>
    <row r="180" spans="1:14" x14ac:dyDescent="0.3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</row>
    <row r="181" spans="1:14" x14ac:dyDescent="0.3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</row>
    <row r="182" spans="1:14" x14ac:dyDescent="0.3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</row>
    <row r="183" spans="1:14" x14ac:dyDescent="0.3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</row>
    <row r="184" spans="1:14" x14ac:dyDescent="0.3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</row>
    <row r="185" spans="1:14" x14ac:dyDescent="0.3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</row>
    <row r="186" spans="1:14" x14ac:dyDescent="0.3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</row>
    <row r="187" spans="1:14" x14ac:dyDescent="0.3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</row>
    <row r="188" spans="1:14" x14ac:dyDescent="0.3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</row>
    <row r="189" spans="1:14" x14ac:dyDescent="0.3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</row>
    <row r="190" spans="1:14" x14ac:dyDescent="0.3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</row>
    <row r="191" spans="1:14" x14ac:dyDescent="0.3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</row>
    <row r="192" spans="1:14" x14ac:dyDescent="0.3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</row>
    <row r="193" spans="1:14" x14ac:dyDescent="0.3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</row>
    <row r="194" spans="1:14" x14ac:dyDescent="0.3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</row>
    <row r="195" spans="1:14" x14ac:dyDescent="0.3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</row>
    <row r="196" spans="1:14" x14ac:dyDescent="0.3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</row>
    <row r="197" spans="1:14" x14ac:dyDescent="0.3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</row>
    <row r="198" spans="1:14" x14ac:dyDescent="0.3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</row>
    <row r="199" spans="1:14" x14ac:dyDescent="0.3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</row>
    <row r="200" spans="1:14" x14ac:dyDescent="0.3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</row>
    <row r="201" spans="1:14" x14ac:dyDescent="0.3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</row>
    <row r="202" spans="1:14" x14ac:dyDescent="0.3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</row>
    <row r="203" spans="1:14" x14ac:dyDescent="0.3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</row>
    <row r="204" spans="1:14" x14ac:dyDescent="0.3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</row>
    <row r="205" spans="1:14" x14ac:dyDescent="0.3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</row>
    <row r="206" spans="1:14" x14ac:dyDescent="0.3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</row>
    <row r="207" spans="1:14" x14ac:dyDescent="0.3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</row>
    <row r="208" spans="1:14" x14ac:dyDescent="0.3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</row>
    <row r="209" spans="1:14" x14ac:dyDescent="0.3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</row>
    <row r="210" spans="1:14" x14ac:dyDescent="0.3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</row>
    <row r="211" spans="1:14" x14ac:dyDescent="0.3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</row>
    <row r="212" spans="1:14" x14ac:dyDescent="0.3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</row>
    <row r="213" spans="1:14" x14ac:dyDescent="0.3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</row>
    <row r="214" spans="1:14" x14ac:dyDescent="0.3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</row>
    <row r="215" spans="1:14" x14ac:dyDescent="0.3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</row>
    <row r="216" spans="1:14" x14ac:dyDescent="0.3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</row>
    <row r="217" spans="1:14" x14ac:dyDescent="0.3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</row>
    <row r="218" spans="1:14" x14ac:dyDescent="0.3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</row>
    <row r="219" spans="1:14" x14ac:dyDescent="0.3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</row>
    <row r="220" spans="1:14" x14ac:dyDescent="0.3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</row>
    <row r="221" spans="1:14" x14ac:dyDescent="0.3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</row>
    <row r="222" spans="1:14" x14ac:dyDescent="0.3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</row>
    <row r="223" spans="1:14" x14ac:dyDescent="0.3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</row>
    <row r="224" spans="1:14" x14ac:dyDescent="0.3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</row>
    <row r="225" spans="1:14" x14ac:dyDescent="0.3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</row>
    <row r="226" spans="1:14" x14ac:dyDescent="0.3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</row>
    <row r="227" spans="1:14" x14ac:dyDescent="0.3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</row>
    <row r="228" spans="1:14" x14ac:dyDescent="0.3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</row>
    <row r="229" spans="1:14" x14ac:dyDescent="0.3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</row>
    <row r="230" spans="1:14" x14ac:dyDescent="0.3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</row>
    <row r="231" spans="1:14" x14ac:dyDescent="0.3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</row>
    <row r="232" spans="1:14" x14ac:dyDescent="0.3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</row>
    <row r="233" spans="1:14" x14ac:dyDescent="0.3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</row>
    <row r="234" spans="1:14" x14ac:dyDescent="0.3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</row>
    <row r="235" spans="1:14" x14ac:dyDescent="0.3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</row>
    <row r="236" spans="1:14" x14ac:dyDescent="0.3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</row>
    <row r="237" spans="1:14" x14ac:dyDescent="0.3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</row>
    <row r="238" spans="1:14" x14ac:dyDescent="0.3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</row>
    <row r="239" spans="1:14" x14ac:dyDescent="0.3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</row>
    <row r="240" spans="1:14" x14ac:dyDescent="0.3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</row>
    <row r="241" spans="1:14" x14ac:dyDescent="0.3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</row>
    <row r="242" spans="1:14" x14ac:dyDescent="0.3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</row>
    <row r="243" spans="1:14" x14ac:dyDescent="0.3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</row>
    <row r="244" spans="1:14" x14ac:dyDescent="0.3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</row>
    <row r="245" spans="1:14" x14ac:dyDescent="0.3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</row>
    <row r="246" spans="1:14" x14ac:dyDescent="0.3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</row>
    <row r="247" spans="1:14" x14ac:dyDescent="0.3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</row>
    <row r="248" spans="1:14" x14ac:dyDescent="0.3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</row>
    <row r="249" spans="1:14" x14ac:dyDescent="0.3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</row>
    <row r="250" spans="1:14" x14ac:dyDescent="0.3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</row>
    <row r="251" spans="1:14" x14ac:dyDescent="0.3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</row>
    <row r="252" spans="1:14" x14ac:dyDescent="0.3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</row>
    <row r="253" spans="1:14" x14ac:dyDescent="0.3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</row>
    <row r="254" spans="1:14" x14ac:dyDescent="0.3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</row>
    <row r="255" spans="1:14" x14ac:dyDescent="0.3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</row>
    <row r="256" spans="1:14" x14ac:dyDescent="0.3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</row>
    <row r="257" spans="1:14" x14ac:dyDescent="0.3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</row>
    <row r="258" spans="1:14" x14ac:dyDescent="0.3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</row>
    <row r="259" spans="1:14" x14ac:dyDescent="0.3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</row>
    <row r="260" spans="1:14" x14ac:dyDescent="0.3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</row>
    <row r="261" spans="1:14" x14ac:dyDescent="0.3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</row>
    <row r="262" spans="1:14" x14ac:dyDescent="0.3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</row>
    <row r="263" spans="1:14" x14ac:dyDescent="0.3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</row>
    <row r="264" spans="1:14" x14ac:dyDescent="0.3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</row>
    <row r="265" spans="1:14" x14ac:dyDescent="0.3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</row>
    <row r="266" spans="1:14" x14ac:dyDescent="0.3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</row>
    <row r="267" spans="1:14" x14ac:dyDescent="0.3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</row>
    <row r="268" spans="1:14" x14ac:dyDescent="0.3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</row>
    <row r="269" spans="1:14" x14ac:dyDescent="0.3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</row>
    <row r="270" spans="1:14" x14ac:dyDescent="0.3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</row>
    <row r="271" spans="1:14" x14ac:dyDescent="0.3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</row>
    <row r="272" spans="1:14" x14ac:dyDescent="0.3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</row>
    <row r="273" spans="1:14" x14ac:dyDescent="0.3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</row>
    <row r="274" spans="1:14" x14ac:dyDescent="0.3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</row>
    <row r="275" spans="1:14" x14ac:dyDescent="0.3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</row>
    <row r="276" spans="1:14" x14ac:dyDescent="0.3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</row>
    <row r="277" spans="1:14" x14ac:dyDescent="0.3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</row>
    <row r="278" spans="1:14" x14ac:dyDescent="0.3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</row>
    <row r="279" spans="1:14" x14ac:dyDescent="0.3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</row>
    <row r="280" spans="1:14" x14ac:dyDescent="0.3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</row>
    <row r="281" spans="1:14" x14ac:dyDescent="0.3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</row>
    <row r="282" spans="1:14" x14ac:dyDescent="0.3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</row>
    <row r="283" spans="1:14" x14ac:dyDescent="0.3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</row>
    <row r="284" spans="1:14" x14ac:dyDescent="0.3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</row>
    <row r="285" spans="1:14" x14ac:dyDescent="0.3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</row>
    <row r="286" spans="1:14" x14ac:dyDescent="0.3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</row>
    <row r="287" spans="1:14" x14ac:dyDescent="0.3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</row>
    <row r="288" spans="1:14" x14ac:dyDescent="0.3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</row>
    <row r="289" spans="1:14" x14ac:dyDescent="0.3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</row>
    <row r="290" spans="1:14" x14ac:dyDescent="0.3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</row>
    <row r="291" spans="1:14" x14ac:dyDescent="0.3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</row>
    <row r="292" spans="1:14" x14ac:dyDescent="0.3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</row>
    <row r="293" spans="1:14" x14ac:dyDescent="0.3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</row>
    <row r="294" spans="1:14" x14ac:dyDescent="0.3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</row>
    <row r="295" spans="1:14" x14ac:dyDescent="0.3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</row>
    <row r="296" spans="1:14" x14ac:dyDescent="0.3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</row>
    <row r="297" spans="1:14" x14ac:dyDescent="0.3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</row>
    <row r="298" spans="1:14" x14ac:dyDescent="0.3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</row>
    <row r="299" spans="1:14" x14ac:dyDescent="0.3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</row>
    <row r="300" spans="1:14" x14ac:dyDescent="0.3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</row>
    <row r="301" spans="1:14" x14ac:dyDescent="0.3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</row>
    <row r="302" spans="1:14" x14ac:dyDescent="0.3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</row>
    <row r="303" spans="1:14" x14ac:dyDescent="0.3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</row>
    <row r="304" spans="1:14" x14ac:dyDescent="0.3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</row>
    <row r="305" spans="1:14" x14ac:dyDescent="0.3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</row>
    <row r="306" spans="1:14" x14ac:dyDescent="0.3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</row>
    <row r="307" spans="1:14" x14ac:dyDescent="0.3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</row>
    <row r="308" spans="1:14" x14ac:dyDescent="0.3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</row>
    <row r="309" spans="1:14" x14ac:dyDescent="0.3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</row>
    <row r="310" spans="1:14" x14ac:dyDescent="0.3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</row>
    <row r="311" spans="1:14" x14ac:dyDescent="0.3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</row>
    <row r="312" spans="1:14" x14ac:dyDescent="0.3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</row>
    <row r="313" spans="1:14" x14ac:dyDescent="0.3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</row>
    <row r="314" spans="1:14" x14ac:dyDescent="0.3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</row>
    <row r="315" spans="1:14" x14ac:dyDescent="0.3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</row>
    <row r="316" spans="1:14" x14ac:dyDescent="0.3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</row>
    <row r="317" spans="1:14" x14ac:dyDescent="0.3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</row>
    <row r="318" spans="1:14" x14ac:dyDescent="0.3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</row>
    <row r="319" spans="1:14" x14ac:dyDescent="0.3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</row>
    <row r="320" spans="1:14" x14ac:dyDescent="0.3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</row>
    <row r="321" spans="1:14" x14ac:dyDescent="0.3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</row>
    <row r="322" spans="1:14" x14ac:dyDescent="0.3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</row>
    <row r="323" spans="1:14" x14ac:dyDescent="0.3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</row>
    <row r="324" spans="1:14" x14ac:dyDescent="0.3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</row>
    <row r="325" spans="1:14" x14ac:dyDescent="0.3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</row>
    <row r="326" spans="1:14" x14ac:dyDescent="0.3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</row>
    <row r="327" spans="1:14" x14ac:dyDescent="0.3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</row>
    <row r="328" spans="1:14" x14ac:dyDescent="0.3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</row>
    <row r="329" spans="1:14" x14ac:dyDescent="0.3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</row>
    <row r="330" spans="1:14" x14ac:dyDescent="0.3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</row>
    <row r="331" spans="1:14" x14ac:dyDescent="0.3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</row>
    <row r="332" spans="1:14" x14ac:dyDescent="0.3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</row>
    <row r="333" spans="1:14" x14ac:dyDescent="0.3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</row>
    <row r="334" spans="1:14" x14ac:dyDescent="0.3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</row>
    <row r="335" spans="1:14" x14ac:dyDescent="0.3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</row>
    <row r="336" spans="1:14" x14ac:dyDescent="0.3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</row>
    <row r="337" spans="1:14" x14ac:dyDescent="0.3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</row>
    <row r="338" spans="1:14" x14ac:dyDescent="0.3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</row>
    <row r="339" spans="1:14" x14ac:dyDescent="0.3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</row>
    <row r="340" spans="1:14" x14ac:dyDescent="0.3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</row>
    <row r="341" spans="1:14" x14ac:dyDescent="0.3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</row>
    <row r="342" spans="1:14" x14ac:dyDescent="0.3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</row>
    <row r="343" spans="1:14" x14ac:dyDescent="0.3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</row>
    <row r="344" spans="1:14" x14ac:dyDescent="0.3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</row>
    <row r="345" spans="1:14" x14ac:dyDescent="0.3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</row>
    <row r="346" spans="1:14" x14ac:dyDescent="0.3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</row>
    <row r="347" spans="1:14" x14ac:dyDescent="0.3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</row>
    <row r="348" spans="1:14" x14ac:dyDescent="0.3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</row>
    <row r="349" spans="1:14" x14ac:dyDescent="0.3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</row>
    <row r="350" spans="1:14" x14ac:dyDescent="0.3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</row>
    <row r="351" spans="1:14" x14ac:dyDescent="0.3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</row>
    <row r="352" spans="1:14" x14ac:dyDescent="0.3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</row>
    <row r="353" spans="1:14" x14ac:dyDescent="0.3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</row>
    <row r="354" spans="1:14" x14ac:dyDescent="0.3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</row>
    <row r="355" spans="1:14" x14ac:dyDescent="0.3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</row>
    <row r="356" spans="1:14" x14ac:dyDescent="0.3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</row>
    <row r="357" spans="1:14" x14ac:dyDescent="0.3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</row>
    <row r="358" spans="1:14" x14ac:dyDescent="0.3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</row>
    <row r="359" spans="1:14" x14ac:dyDescent="0.3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</row>
    <row r="360" spans="1:14" x14ac:dyDescent="0.3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</row>
    <row r="361" spans="1:14" x14ac:dyDescent="0.3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</row>
    <row r="362" spans="1:14" x14ac:dyDescent="0.3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</row>
    <row r="363" spans="1:14" x14ac:dyDescent="0.3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</row>
    <row r="364" spans="1:14" x14ac:dyDescent="0.3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</row>
    <row r="365" spans="1:14" x14ac:dyDescent="0.3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</row>
    <row r="366" spans="1:14" x14ac:dyDescent="0.3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</row>
    <row r="367" spans="1:14" x14ac:dyDescent="0.3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</row>
    <row r="368" spans="1:14" x14ac:dyDescent="0.3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</row>
    <row r="369" spans="1:14" x14ac:dyDescent="0.3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</row>
    <row r="370" spans="1:14" x14ac:dyDescent="0.3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</row>
    <row r="371" spans="1:14" x14ac:dyDescent="0.3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</row>
    <row r="372" spans="1:14" x14ac:dyDescent="0.3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</row>
    <row r="373" spans="1:14" x14ac:dyDescent="0.3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</row>
    <row r="374" spans="1:14" x14ac:dyDescent="0.3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</row>
    <row r="375" spans="1:14" x14ac:dyDescent="0.3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</row>
    <row r="376" spans="1:14" x14ac:dyDescent="0.3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</row>
    <row r="377" spans="1:14" x14ac:dyDescent="0.3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</row>
    <row r="378" spans="1:14" x14ac:dyDescent="0.3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</row>
    <row r="379" spans="1:14" x14ac:dyDescent="0.3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</row>
    <row r="380" spans="1:14" x14ac:dyDescent="0.3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</row>
    <row r="381" spans="1:14" x14ac:dyDescent="0.3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</row>
    <row r="382" spans="1:14" x14ac:dyDescent="0.3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</row>
    <row r="383" spans="1:14" x14ac:dyDescent="0.3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</row>
    <row r="384" spans="1:14" x14ac:dyDescent="0.3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</row>
    <row r="385" spans="1:14" x14ac:dyDescent="0.3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</row>
    <row r="386" spans="1:14" x14ac:dyDescent="0.3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</row>
    <row r="387" spans="1:14" x14ac:dyDescent="0.3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</row>
    <row r="388" spans="1:14" x14ac:dyDescent="0.3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</row>
    <row r="389" spans="1:14" x14ac:dyDescent="0.3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</row>
    <row r="390" spans="1:14" x14ac:dyDescent="0.3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</row>
    <row r="391" spans="1:14" x14ac:dyDescent="0.3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</row>
    <row r="392" spans="1:14" x14ac:dyDescent="0.3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</row>
    <row r="393" spans="1:14" x14ac:dyDescent="0.3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</row>
    <row r="394" spans="1:14" x14ac:dyDescent="0.3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</row>
    <row r="395" spans="1:14" x14ac:dyDescent="0.3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</row>
    <row r="396" spans="1:14" x14ac:dyDescent="0.3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</row>
    <row r="397" spans="1:14" x14ac:dyDescent="0.3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</row>
    <row r="398" spans="1:14" x14ac:dyDescent="0.3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</row>
    <row r="399" spans="1:14" x14ac:dyDescent="0.3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</row>
    <row r="400" spans="1:14" x14ac:dyDescent="0.3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</row>
    <row r="401" spans="1:14" x14ac:dyDescent="0.3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</row>
    <row r="402" spans="1:14" x14ac:dyDescent="0.3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</row>
    <row r="403" spans="1:14" x14ac:dyDescent="0.3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</row>
    <row r="404" spans="1:14" x14ac:dyDescent="0.3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</row>
    <row r="405" spans="1:14" x14ac:dyDescent="0.3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</row>
    <row r="406" spans="1:14" x14ac:dyDescent="0.3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</row>
    <row r="407" spans="1:14" x14ac:dyDescent="0.3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</row>
    <row r="408" spans="1:14" x14ac:dyDescent="0.3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</row>
    <row r="409" spans="1:14" x14ac:dyDescent="0.3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</row>
    <row r="410" spans="1:14" x14ac:dyDescent="0.3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</row>
    <row r="411" spans="1:14" x14ac:dyDescent="0.3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</row>
    <row r="412" spans="1:14" x14ac:dyDescent="0.3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</row>
    <row r="413" spans="1:14" x14ac:dyDescent="0.3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</row>
    <row r="414" spans="1:14" x14ac:dyDescent="0.3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</row>
    <row r="415" spans="1:14" x14ac:dyDescent="0.3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</row>
    <row r="416" spans="1:14" x14ac:dyDescent="0.3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</row>
    <row r="417" spans="1:14" x14ac:dyDescent="0.3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</row>
    <row r="418" spans="1:14" x14ac:dyDescent="0.3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</row>
    <row r="419" spans="1:14" x14ac:dyDescent="0.3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</row>
    <row r="420" spans="1:14" x14ac:dyDescent="0.3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</row>
    <row r="421" spans="1:14" x14ac:dyDescent="0.3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</row>
    <row r="422" spans="1:14" x14ac:dyDescent="0.3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</row>
    <row r="423" spans="1:14" x14ac:dyDescent="0.3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</row>
    <row r="424" spans="1:14" x14ac:dyDescent="0.3"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</row>
    <row r="425" spans="1:14" x14ac:dyDescent="0.3"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</row>
    <row r="426" spans="1:14" x14ac:dyDescent="0.3"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</row>
  </sheetData>
  <mergeCells count="6">
    <mergeCell ref="L5:N7"/>
    <mergeCell ref="A5:A7"/>
    <mergeCell ref="B5:D7"/>
    <mergeCell ref="E5:G7"/>
    <mergeCell ref="H5:H8"/>
    <mergeCell ref="I5:K7"/>
  </mergeCells>
  <pageMargins left="0.39370078740157483" right="0.39370078740157483" top="0.59055118110236227" bottom="0.59055118110236227" header="0.39370078740157483" footer="0.39370078740157483"/>
  <pageSetup paperSize="9" scale="8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54"/>
  <sheetViews>
    <sheetView workbookViewId="0">
      <pane ySplit="13" topLeftCell="A22" activePane="bottomLeft" state="frozen"/>
      <selection pane="bottomLeft" activeCell="B14" sqref="B14:B47"/>
    </sheetView>
  </sheetViews>
  <sheetFormatPr baseColWidth="10" defaultColWidth="11.46484375" defaultRowHeight="10.15" x14ac:dyDescent="0.3"/>
  <cols>
    <col min="1" max="1" width="5.53125" style="19" customWidth="1"/>
    <col min="2" max="7" width="6.53125" style="19" customWidth="1"/>
    <col min="8" max="8" width="11.19921875" style="19" customWidth="1"/>
    <col min="9" max="14" width="6.53125" style="19" customWidth="1"/>
    <col min="15" max="16384" width="11.46484375" style="56"/>
  </cols>
  <sheetData>
    <row r="1" spans="1:14" s="23" customFormat="1" ht="11.65" x14ac:dyDescent="0.35">
      <c r="A1" s="20" t="s">
        <v>98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s="24" customFormat="1" ht="11.65" x14ac:dyDescent="0.3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3" spans="1:14" s="27" customFormat="1" ht="4.05" customHeight="1" x14ac:dyDescent="0.3">
      <c r="A3" s="62"/>
      <c r="B3" s="3"/>
      <c r="C3" s="1"/>
      <c r="D3" s="1"/>
      <c r="E3" s="1"/>
      <c r="F3" s="1"/>
      <c r="G3" s="4"/>
      <c r="H3" s="2"/>
      <c r="I3" s="3"/>
      <c r="J3" s="1"/>
      <c r="K3" s="1"/>
      <c r="L3" s="1"/>
      <c r="M3" s="1"/>
      <c r="N3" s="1"/>
    </row>
    <row r="4" spans="1:14" s="27" customFormat="1" ht="12" customHeight="1" x14ac:dyDescent="0.3">
      <c r="A4" s="28"/>
      <c r="B4" s="7" t="s">
        <v>82</v>
      </c>
      <c r="C4" s="5"/>
      <c r="D4" s="5"/>
      <c r="E4" s="5"/>
      <c r="F4" s="5"/>
      <c r="G4" s="8"/>
      <c r="H4" s="6" t="s">
        <v>78</v>
      </c>
      <c r="I4" s="7" t="s">
        <v>76</v>
      </c>
      <c r="J4" s="5"/>
      <c r="K4" s="5"/>
      <c r="L4" s="5"/>
      <c r="M4" s="5"/>
      <c r="N4" s="5"/>
    </row>
    <row r="5" spans="1:14" s="27" customFormat="1" ht="12" customHeight="1" x14ac:dyDescent="0.3">
      <c r="A5" s="28"/>
      <c r="B5" s="7"/>
      <c r="C5" s="5"/>
      <c r="D5" s="5"/>
      <c r="E5" s="5"/>
      <c r="F5" s="5"/>
      <c r="G5" s="8"/>
      <c r="H5" s="9" t="s">
        <v>83</v>
      </c>
      <c r="I5" s="7"/>
      <c r="J5" s="5"/>
      <c r="K5" s="5"/>
      <c r="L5" s="5"/>
      <c r="M5" s="5"/>
      <c r="N5" s="5"/>
    </row>
    <row r="6" spans="1:14" s="27" customFormat="1" ht="4.05" customHeight="1" x14ac:dyDescent="0.3">
      <c r="A6" s="25"/>
      <c r="B6" s="12"/>
      <c r="C6" s="10"/>
      <c r="D6" s="10"/>
      <c r="E6" s="10"/>
      <c r="F6" s="10"/>
      <c r="G6" s="13"/>
      <c r="H6" s="11"/>
      <c r="I6" s="12"/>
      <c r="J6" s="10"/>
      <c r="K6" s="10"/>
      <c r="L6" s="10"/>
      <c r="M6" s="10"/>
      <c r="N6" s="10"/>
    </row>
    <row r="7" spans="1:14" s="27" customFormat="1" ht="4.05" customHeight="1" x14ac:dyDescent="0.3">
      <c r="A7" s="25"/>
      <c r="B7" s="137" t="s">
        <v>75</v>
      </c>
      <c r="C7" s="138"/>
      <c r="D7" s="139"/>
      <c r="E7" s="137" t="s">
        <v>74</v>
      </c>
      <c r="F7" s="138"/>
      <c r="G7" s="138"/>
      <c r="H7" s="146" t="s">
        <v>77</v>
      </c>
      <c r="I7" s="137" t="s">
        <v>75</v>
      </c>
      <c r="J7" s="138"/>
      <c r="K7" s="139"/>
      <c r="L7" s="137" t="s">
        <v>74</v>
      </c>
      <c r="M7" s="138"/>
      <c r="N7" s="138"/>
    </row>
    <row r="8" spans="1:14" s="30" customFormat="1" ht="24.75" customHeight="1" x14ac:dyDescent="0.35">
      <c r="A8" s="29"/>
      <c r="B8" s="140"/>
      <c r="C8" s="141"/>
      <c r="D8" s="142"/>
      <c r="E8" s="140"/>
      <c r="F8" s="141"/>
      <c r="G8" s="141"/>
      <c r="H8" s="135"/>
      <c r="I8" s="140"/>
      <c r="J8" s="141"/>
      <c r="K8" s="142"/>
      <c r="L8" s="140"/>
      <c r="M8" s="141"/>
      <c r="N8" s="141"/>
    </row>
    <row r="9" spans="1:14" s="27" customFormat="1" ht="4.05" customHeight="1" x14ac:dyDescent="0.3">
      <c r="A9" s="25"/>
      <c r="B9" s="143"/>
      <c r="C9" s="144"/>
      <c r="D9" s="145"/>
      <c r="E9" s="143"/>
      <c r="F9" s="144"/>
      <c r="G9" s="144"/>
      <c r="H9" s="135"/>
      <c r="I9" s="143"/>
      <c r="J9" s="144"/>
      <c r="K9" s="145"/>
      <c r="L9" s="143"/>
      <c r="M9" s="144"/>
      <c r="N9" s="144"/>
    </row>
    <row r="10" spans="1:14" s="27" customFormat="1" ht="4.05" customHeight="1" x14ac:dyDescent="0.3">
      <c r="A10" s="25"/>
      <c r="B10" s="14"/>
      <c r="C10" s="14"/>
      <c r="D10" s="14"/>
      <c r="E10" s="14"/>
      <c r="F10" s="14"/>
      <c r="G10" s="14"/>
      <c r="H10" s="135"/>
      <c r="I10" s="14"/>
      <c r="J10" s="14"/>
      <c r="K10" s="14"/>
      <c r="L10" s="14"/>
      <c r="M10" s="14"/>
      <c r="N10" s="26"/>
    </row>
    <row r="11" spans="1:14" s="27" customFormat="1" ht="12" customHeight="1" x14ac:dyDescent="0.3">
      <c r="A11" s="28" t="s">
        <v>0</v>
      </c>
      <c r="B11" s="16" t="s">
        <v>5</v>
      </c>
      <c r="C11" s="15" t="s">
        <v>3</v>
      </c>
      <c r="D11" s="15" t="s">
        <v>4</v>
      </c>
      <c r="E11" s="16" t="s">
        <v>5</v>
      </c>
      <c r="F11" s="15" t="s">
        <v>3</v>
      </c>
      <c r="G11" s="15" t="s">
        <v>4</v>
      </c>
      <c r="H11" s="135"/>
      <c r="I11" s="16" t="s">
        <v>5</v>
      </c>
      <c r="J11" s="15" t="s">
        <v>3</v>
      </c>
      <c r="K11" s="15" t="s">
        <v>4</v>
      </c>
      <c r="L11" s="16" t="s">
        <v>5</v>
      </c>
      <c r="M11" s="15" t="s">
        <v>3</v>
      </c>
      <c r="N11" s="26" t="s">
        <v>4</v>
      </c>
    </row>
    <row r="12" spans="1:14" s="27" customFormat="1" ht="4.05" customHeight="1" x14ac:dyDescent="0.3">
      <c r="A12" s="63"/>
      <c r="B12" s="17"/>
      <c r="C12" s="17"/>
      <c r="D12" s="17"/>
      <c r="E12" s="17"/>
      <c r="F12" s="17"/>
      <c r="G12" s="17"/>
      <c r="H12" s="136"/>
      <c r="I12" s="17"/>
      <c r="J12" s="17"/>
      <c r="K12" s="17"/>
      <c r="L12" s="17"/>
      <c r="M12" s="17"/>
      <c r="N12" s="10"/>
    </row>
    <row r="13" spans="1:14" s="27" customFormat="1" ht="4.5" customHeight="1" x14ac:dyDescent="0.3">
      <c r="A13" s="19"/>
      <c r="B13" s="31"/>
      <c r="C13" s="19"/>
      <c r="D13" s="19"/>
      <c r="E13" s="31"/>
      <c r="F13" s="31"/>
      <c r="G13" s="31"/>
      <c r="H13" s="31"/>
      <c r="I13" s="31"/>
      <c r="J13" s="19"/>
      <c r="K13" s="19"/>
      <c r="L13" s="31"/>
      <c r="M13" s="31"/>
      <c r="N13" s="31"/>
    </row>
    <row r="14" spans="1:14" s="37" customFormat="1" ht="14.25" customHeight="1" x14ac:dyDescent="0.35">
      <c r="A14" s="32" t="s">
        <v>41</v>
      </c>
      <c r="B14" s="50">
        <v>920</v>
      </c>
      <c r="C14" s="50">
        <v>875</v>
      </c>
      <c r="D14" s="50">
        <v>1005</v>
      </c>
      <c r="E14" s="34">
        <v>2.2000000000000002</v>
      </c>
      <c r="F14" s="34">
        <v>1.9</v>
      </c>
      <c r="G14" s="34">
        <v>2.9</v>
      </c>
      <c r="H14" s="36">
        <v>1</v>
      </c>
      <c r="I14" s="50">
        <v>245</v>
      </c>
      <c r="J14" s="50">
        <v>233</v>
      </c>
      <c r="K14" s="50">
        <v>267</v>
      </c>
      <c r="L14" s="34">
        <v>1.2</v>
      </c>
      <c r="M14" s="34">
        <v>0.8</v>
      </c>
      <c r="N14" s="34">
        <v>1.9</v>
      </c>
    </row>
    <row r="15" spans="1:14" s="37" customFormat="1" ht="14.25" customHeight="1" x14ac:dyDescent="0.35">
      <c r="A15" s="45" t="s">
        <v>42</v>
      </c>
      <c r="B15" s="46">
        <v>942</v>
      </c>
      <c r="C15" s="46">
        <v>897</v>
      </c>
      <c r="D15" s="46">
        <v>1025</v>
      </c>
      <c r="E15" s="47">
        <v>2.4</v>
      </c>
      <c r="F15" s="47">
        <v>2.6</v>
      </c>
      <c r="G15" s="47">
        <v>2</v>
      </c>
      <c r="H15" s="49">
        <v>1.6</v>
      </c>
      <c r="I15" s="46">
        <v>247</v>
      </c>
      <c r="J15" s="46">
        <v>235</v>
      </c>
      <c r="K15" s="46">
        <v>269</v>
      </c>
      <c r="L15" s="47">
        <v>0.8</v>
      </c>
      <c r="M15" s="47">
        <v>1</v>
      </c>
      <c r="N15" s="47">
        <v>0.5</v>
      </c>
    </row>
    <row r="16" spans="1:14" s="37" customFormat="1" ht="14.25" customHeight="1" x14ac:dyDescent="0.35">
      <c r="A16" s="32" t="s">
        <v>43</v>
      </c>
      <c r="B16" s="50">
        <v>972</v>
      </c>
      <c r="C16" s="50">
        <v>924</v>
      </c>
      <c r="D16" s="50">
        <v>1064</v>
      </c>
      <c r="E16" s="34">
        <v>3.1</v>
      </c>
      <c r="F16" s="34">
        <v>3</v>
      </c>
      <c r="G16" s="34">
        <v>3.8</v>
      </c>
      <c r="H16" s="36">
        <v>0.4</v>
      </c>
      <c r="I16" s="50">
        <v>254</v>
      </c>
      <c r="J16" s="50">
        <v>241</v>
      </c>
      <c r="K16" s="50">
        <v>277</v>
      </c>
      <c r="L16" s="34">
        <v>2.7</v>
      </c>
      <c r="M16" s="34">
        <v>2.5</v>
      </c>
      <c r="N16" s="34">
        <v>3.3</v>
      </c>
    </row>
    <row r="17" spans="1:14" s="37" customFormat="1" ht="14.25" customHeight="1" x14ac:dyDescent="0.35">
      <c r="A17" s="45" t="s">
        <v>44</v>
      </c>
      <c r="B17" s="46">
        <v>1004</v>
      </c>
      <c r="C17" s="46">
        <v>955</v>
      </c>
      <c r="D17" s="46">
        <v>1101</v>
      </c>
      <c r="E17" s="47">
        <v>3.4</v>
      </c>
      <c r="F17" s="47">
        <v>3.3</v>
      </c>
      <c r="G17" s="47">
        <v>3.5</v>
      </c>
      <c r="H17" s="49">
        <v>5</v>
      </c>
      <c r="I17" s="46">
        <v>250</v>
      </c>
      <c r="J17" s="46">
        <v>237</v>
      </c>
      <c r="K17" s="46">
        <v>274</v>
      </c>
      <c r="L17" s="47">
        <v>-1.5</v>
      </c>
      <c r="M17" s="47">
        <v>-1.6</v>
      </c>
      <c r="N17" s="47">
        <v>-1.4</v>
      </c>
    </row>
    <row r="18" spans="1:14" s="37" customFormat="1" ht="14.25" customHeight="1" x14ac:dyDescent="0.35">
      <c r="A18" s="32" t="s">
        <v>45</v>
      </c>
      <c r="B18" s="50">
        <v>1058</v>
      </c>
      <c r="C18" s="50">
        <v>1005</v>
      </c>
      <c r="D18" s="50">
        <v>1162</v>
      </c>
      <c r="E18" s="34">
        <v>5.3</v>
      </c>
      <c r="F18" s="34">
        <v>5.2</v>
      </c>
      <c r="G18" s="34">
        <v>5.6</v>
      </c>
      <c r="H18" s="36">
        <v>3.6</v>
      </c>
      <c r="I18" s="50">
        <v>254</v>
      </c>
      <c r="J18" s="50">
        <v>241</v>
      </c>
      <c r="K18" s="50">
        <v>279</v>
      </c>
      <c r="L18" s="34">
        <v>1.6</v>
      </c>
      <c r="M18" s="34">
        <v>1.6</v>
      </c>
      <c r="N18" s="34">
        <v>1.9</v>
      </c>
    </row>
    <row r="19" spans="1:14" s="37" customFormat="1" ht="14.25" customHeight="1" x14ac:dyDescent="0.35">
      <c r="A19" s="45" t="s">
        <v>46</v>
      </c>
      <c r="B19" s="46">
        <v>1124</v>
      </c>
      <c r="C19" s="46">
        <v>1067</v>
      </c>
      <c r="D19" s="46">
        <v>1239</v>
      </c>
      <c r="E19" s="47">
        <v>6.3</v>
      </c>
      <c r="F19" s="47">
        <v>6.2</v>
      </c>
      <c r="G19" s="47">
        <v>6.6</v>
      </c>
      <c r="H19" s="49">
        <v>7.3</v>
      </c>
      <c r="I19" s="46">
        <v>251</v>
      </c>
      <c r="J19" s="46">
        <v>238</v>
      </c>
      <c r="K19" s="46">
        <v>277</v>
      </c>
      <c r="L19" s="47">
        <v>-1</v>
      </c>
      <c r="M19" s="47">
        <v>-1</v>
      </c>
      <c r="N19" s="47">
        <v>-0.7</v>
      </c>
    </row>
    <row r="20" spans="1:14" s="37" customFormat="1" ht="14.25" customHeight="1" x14ac:dyDescent="0.35">
      <c r="A20" s="32" t="s">
        <v>47</v>
      </c>
      <c r="B20" s="50">
        <v>1203</v>
      </c>
      <c r="C20" s="50">
        <v>1143</v>
      </c>
      <c r="D20" s="50">
        <v>1322</v>
      </c>
      <c r="E20" s="34">
        <v>7</v>
      </c>
      <c r="F20" s="34">
        <v>7.1</v>
      </c>
      <c r="G20" s="34">
        <v>6.7</v>
      </c>
      <c r="H20" s="36">
        <v>6.2</v>
      </c>
      <c r="I20" s="50">
        <v>253</v>
      </c>
      <c r="J20" s="50">
        <v>241</v>
      </c>
      <c r="K20" s="50">
        <v>278</v>
      </c>
      <c r="L20" s="34">
        <v>0.8</v>
      </c>
      <c r="M20" s="34">
        <v>0.9</v>
      </c>
      <c r="N20" s="34">
        <v>0.5</v>
      </c>
    </row>
    <row r="21" spans="1:14" s="37" customFormat="1" ht="14.25" customHeight="1" x14ac:dyDescent="0.35">
      <c r="A21" s="45" t="s">
        <v>48</v>
      </c>
      <c r="B21" s="46">
        <v>1248</v>
      </c>
      <c r="C21" s="46">
        <v>1186</v>
      </c>
      <c r="D21" s="46">
        <v>1371</v>
      </c>
      <c r="E21" s="47">
        <v>3.8</v>
      </c>
      <c r="F21" s="47">
        <v>3.8</v>
      </c>
      <c r="G21" s="47">
        <v>3.8</v>
      </c>
      <c r="H21" s="49">
        <v>1.4</v>
      </c>
      <c r="I21" s="39">
        <v>259</v>
      </c>
      <c r="J21" s="46">
        <v>246</v>
      </c>
      <c r="K21" s="46">
        <v>285</v>
      </c>
      <c r="L21" s="47">
        <v>2.2999999999999998</v>
      </c>
      <c r="M21" s="47">
        <v>2.2999999999999998</v>
      </c>
      <c r="N21" s="47">
        <v>2.2999999999999998</v>
      </c>
    </row>
    <row r="22" spans="1:14" s="37" customFormat="1" ht="14.25" customHeight="1" x14ac:dyDescent="0.35">
      <c r="A22" s="32" t="s">
        <v>49</v>
      </c>
      <c r="B22" s="50">
        <v>1283</v>
      </c>
      <c r="C22" s="50">
        <v>1218</v>
      </c>
      <c r="D22" s="50">
        <v>1411</v>
      </c>
      <c r="E22" s="34">
        <v>2.7</v>
      </c>
      <c r="F22" s="34">
        <v>2.7</v>
      </c>
      <c r="G22" s="34">
        <v>2.9</v>
      </c>
      <c r="H22" s="36">
        <v>3.1</v>
      </c>
      <c r="I22" s="50">
        <v>258</v>
      </c>
      <c r="J22" s="50">
        <v>245</v>
      </c>
      <c r="K22" s="50">
        <v>284</v>
      </c>
      <c r="L22" s="34">
        <v>-0.4</v>
      </c>
      <c r="M22" s="34">
        <v>-0.4</v>
      </c>
      <c r="N22" s="34">
        <v>-0.2</v>
      </c>
    </row>
    <row r="23" spans="1:14" s="37" customFormat="1" ht="14.25" customHeight="1" x14ac:dyDescent="0.35">
      <c r="A23" s="45" t="s">
        <v>50</v>
      </c>
      <c r="B23" s="46">
        <v>1323</v>
      </c>
      <c r="C23" s="46">
        <v>1256</v>
      </c>
      <c r="D23" s="46">
        <v>1459</v>
      </c>
      <c r="E23" s="47">
        <v>3.1</v>
      </c>
      <c r="F23" s="47">
        <v>3.1</v>
      </c>
      <c r="G23" s="47">
        <v>3.4</v>
      </c>
      <c r="H23" s="49">
        <v>3</v>
      </c>
      <c r="I23" s="39">
        <v>259</v>
      </c>
      <c r="J23" s="46">
        <v>246</v>
      </c>
      <c r="K23" s="46">
        <v>285</v>
      </c>
      <c r="L23" s="47">
        <v>0.2</v>
      </c>
      <c r="M23" s="47">
        <v>0.1</v>
      </c>
      <c r="N23" s="47">
        <v>0.4</v>
      </c>
    </row>
    <row r="24" spans="1:14" s="37" customFormat="1" ht="14.25" customHeight="1" x14ac:dyDescent="0.35">
      <c r="A24" s="32" t="s">
        <v>51</v>
      </c>
      <c r="B24" s="50">
        <v>1370</v>
      </c>
      <c r="C24" s="50">
        <v>1300</v>
      </c>
      <c r="D24" s="50">
        <v>1516</v>
      </c>
      <c r="E24" s="34">
        <v>3.6</v>
      </c>
      <c r="F24" s="34">
        <v>3.5</v>
      </c>
      <c r="G24" s="34">
        <v>3.9</v>
      </c>
      <c r="H24" s="36">
        <v>0.4</v>
      </c>
      <c r="I24" s="50">
        <v>267</v>
      </c>
      <c r="J24" s="50">
        <v>253</v>
      </c>
      <c r="K24" s="50">
        <v>295</v>
      </c>
      <c r="L24" s="34">
        <v>3.2</v>
      </c>
      <c r="M24" s="34">
        <v>3.2</v>
      </c>
      <c r="N24" s="34">
        <v>3.5</v>
      </c>
    </row>
    <row r="25" spans="1:14" s="37" customFormat="1" ht="14.25" customHeight="1" x14ac:dyDescent="0.35">
      <c r="A25" s="45" t="s">
        <v>52</v>
      </c>
      <c r="B25" s="46">
        <v>1403</v>
      </c>
      <c r="C25" s="46">
        <v>1330</v>
      </c>
      <c r="D25" s="46">
        <v>1557</v>
      </c>
      <c r="E25" s="47">
        <v>2.4</v>
      </c>
      <c r="F25" s="47">
        <v>2.2999999999999998</v>
      </c>
      <c r="G25" s="47">
        <v>2.7</v>
      </c>
      <c r="H25" s="49">
        <v>2</v>
      </c>
      <c r="I25" s="39">
        <v>268</v>
      </c>
      <c r="J25" s="46">
        <v>254</v>
      </c>
      <c r="K25" s="46">
        <v>298</v>
      </c>
      <c r="L25" s="47">
        <v>0.4</v>
      </c>
      <c r="M25" s="47">
        <v>0.3</v>
      </c>
      <c r="N25" s="47">
        <v>0.7</v>
      </c>
    </row>
    <row r="26" spans="1:14" s="37" customFormat="1" ht="14.25" customHeight="1" x14ac:dyDescent="0.35">
      <c r="A26" s="32" t="s">
        <v>53</v>
      </c>
      <c r="B26" s="50">
        <v>1452</v>
      </c>
      <c r="C26" s="50">
        <v>1375</v>
      </c>
      <c r="D26" s="50">
        <v>1615</v>
      </c>
      <c r="E26" s="34">
        <v>3.4</v>
      </c>
      <c r="F26" s="34">
        <v>3.4</v>
      </c>
      <c r="G26" s="34">
        <v>3.7</v>
      </c>
      <c r="H26" s="36">
        <v>1.8</v>
      </c>
      <c r="I26" s="50">
        <v>273</v>
      </c>
      <c r="J26" s="50">
        <v>258</v>
      </c>
      <c r="K26" s="50">
        <v>303</v>
      </c>
      <c r="L26" s="34">
        <v>1.7</v>
      </c>
      <c r="M26" s="34">
        <v>1.6</v>
      </c>
      <c r="N26" s="34">
        <v>1.9</v>
      </c>
    </row>
    <row r="27" spans="1:14" s="37" customFormat="1" ht="14.25" customHeight="1" x14ac:dyDescent="0.35">
      <c r="A27" s="45" t="s">
        <v>54</v>
      </c>
      <c r="B27" s="46">
        <v>1507</v>
      </c>
      <c r="C27" s="46">
        <v>1427</v>
      </c>
      <c r="D27" s="46">
        <v>1680</v>
      </c>
      <c r="E27" s="47">
        <v>3.8</v>
      </c>
      <c r="F27" s="47">
        <v>3.8</v>
      </c>
      <c r="G27" s="47">
        <v>4</v>
      </c>
      <c r="H27" s="49">
        <v>3.6</v>
      </c>
      <c r="I27" s="39">
        <v>274</v>
      </c>
      <c r="J27" s="46">
        <v>259</v>
      </c>
      <c r="K27" s="46">
        <v>304</v>
      </c>
      <c r="L27" s="47">
        <v>0.2</v>
      </c>
      <c r="M27" s="47">
        <v>0.2</v>
      </c>
      <c r="N27" s="47">
        <v>0.4</v>
      </c>
    </row>
    <row r="28" spans="1:14" s="37" customFormat="1" ht="14.25" customHeight="1" x14ac:dyDescent="0.35">
      <c r="A28" s="32" t="s">
        <v>55</v>
      </c>
      <c r="B28" s="50">
        <v>1595</v>
      </c>
      <c r="C28" s="50">
        <v>1511</v>
      </c>
      <c r="D28" s="50">
        <v>1775</v>
      </c>
      <c r="E28" s="34">
        <v>5.9</v>
      </c>
      <c r="F28" s="34">
        <v>5.9</v>
      </c>
      <c r="G28" s="34">
        <v>5.7</v>
      </c>
      <c r="H28" s="36">
        <v>6.4</v>
      </c>
      <c r="I28" s="50">
        <v>272</v>
      </c>
      <c r="J28" s="50">
        <v>257</v>
      </c>
      <c r="K28" s="50">
        <v>302</v>
      </c>
      <c r="L28" s="34">
        <v>-0.5</v>
      </c>
      <c r="M28" s="34">
        <v>-0.5</v>
      </c>
      <c r="N28" s="34">
        <v>-0.7</v>
      </c>
    </row>
    <row r="29" spans="1:14" s="37" customFormat="1" ht="14.25" customHeight="1" x14ac:dyDescent="0.35">
      <c r="A29" s="45" t="s">
        <v>56</v>
      </c>
      <c r="B29" s="46">
        <v>1706</v>
      </c>
      <c r="C29" s="46">
        <v>1619</v>
      </c>
      <c r="D29" s="46">
        <v>1887</v>
      </c>
      <c r="E29" s="47">
        <v>7</v>
      </c>
      <c r="F29" s="47">
        <v>7.2</v>
      </c>
      <c r="G29" s="47">
        <v>6.3</v>
      </c>
      <c r="H29" s="49">
        <v>5.0999999999999996</v>
      </c>
      <c r="I29" s="39">
        <v>277</v>
      </c>
      <c r="J29" s="46">
        <v>262</v>
      </c>
      <c r="K29" s="46">
        <v>306</v>
      </c>
      <c r="L29" s="47">
        <v>1.8</v>
      </c>
      <c r="M29" s="47">
        <v>1.9</v>
      </c>
      <c r="N29" s="47">
        <v>1.1000000000000001</v>
      </c>
    </row>
    <row r="30" spans="1:14" s="37" customFormat="1" ht="14.25" customHeight="1" x14ac:dyDescent="0.35">
      <c r="A30" s="32" t="s">
        <v>57</v>
      </c>
      <c r="B30" s="50">
        <v>1788</v>
      </c>
      <c r="C30" s="50">
        <v>1699</v>
      </c>
      <c r="D30" s="50">
        <v>1969</v>
      </c>
      <c r="E30" s="34">
        <v>4.8</v>
      </c>
      <c r="F30" s="34">
        <v>4.9000000000000004</v>
      </c>
      <c r="G30" s="34">
        <v>4.3</v>
      </c>
      <c r="H30" s="36">
        <v>3.5</v>
      </c>
      <c r="I30" s="50">
        <v>280</v>
      </c>
      <c r="J30" s="50">
        <v>266</v>
      </c>
      <c r="K30" s="50">
        <v>308</v>
      </c>
      <c r="L30" s="34">
        <v>1.2</v>
      </c>
      <c r="M30" s="34">
        <v>1.3</v>
      </c>
      <c r="N30" s="34">
        <v>0.8</v>
      </c>
    </row>
    <row r="31" spans="1:14" s="37" customFormat="1" ht="14.25" customHeight="1" x14ac:dyDescent="0.35">
      <c r="A31" s="45" t="s">
        <v>58</v>
      </c>
      <c r="B31" s="46">
        <v>1836</v>
      </c>
      <c r="C31" s="46">
        <v>1743</v>
      </c>
      <c r="D31" s="46">
        <v>2024</v>
      </c>
      <c r="E31" s="47">
        <v>2.7</v>
      </c>
      <c r="F31" s="47">
        <v>2.6</v>
      </c>
      <c r="G31" s="47">
        <v>2.8</v>
      </c>
      <c r="H31" s="49">
        <v>3.4</v>
      </c>
      <c r="I31" s="39">
        <v>278</v>
      </c>
      <c r="J31" s="46">
        <v>264</v>
      </c>
      <c r="K31" s="46">
        <v>306</v>
      </c>
      <c r="L31" s="47">
        <v>-0.7</v>
      </c>
      <c r="M31" s="47">
        <v>-0.7</v>
      </c>
      <c r="N31" s="47">
        <v>-0.5</v>
      </c>
    </row>
    <row r="32" spans="1:14" s="37" customFormat="1" ht="14.25" customHeight="1" x14ac:dyDescent="0.35">
      <c r="A32" s="32" t="s">
        <v>59</v>
      </c>
      <c r="B32" s="50">
        <v>1862</v>
      </c>
      <c r="C32" s="50">
        <v>1769</v>
      </c>
      <c r="D32" s="50">
        <v>2051</v>
      </c>
      <c r="E32" s="34">
        <v>1.5</v>
      </c>
      <c r="F32" s="34">
        <v>1.5</v>
      </c>
      <c r="G32" s="34">
        <v>1.4</v>
      </c>
      <c r="H32" s="36">
        <v>0.9</v>
      </c>
      <c r="I32" s="50">
        <v>280</v>
      </c>
      <c r="J32" s="50">
        <v>265</v>
      </c>
      <c r="K32" s="50">
        <v>308</v>
      </c>
      <c r="L32" s="34">
        <v>0.5</v>
      </c>
      <c r="M32" s="34">
        <v>0.6</v>
      </c>
      <c r="N32" s="34">
        <v>0.4</v>
      </c>
    </row>
    <row r="33" spans="1:16" s="37" customFormat="1" ht="14.25" customHeight="1" x14ac:dyDescent="0.35">
      <c r="A33" s="45" t="s">
        <v>60</v>
      </c>
      <c r="B33" s="46">
        <v>1887</v>
      </c>
      <c r="C33" s="46">
        <v>1789</v>
      </c>
      <c r="D33" s="46">
        <v>2087</v>
      </c>
      <c r="E33" s="47">
        <v>1.3</v>
      </c>
      <c r="F33" s="47">
        <v>1.1000000000000001</v>
      </c>
      <c r="G33" s="47">
        <v>1.8</v>
      </c>
      <c r="H33" s="49">
        <v>1.8</v>
      </c>
      <c r="I33" s="46">
        <v>279</v>
      </c>
      <c r="J33" s="46">
        <v>264</v>
      </c>
      <c r="K33" s="46">
        <v>307</v>
      </c>
      <c r="L33" s="47">
        <v>-0.5</v>
      </c>
      <c r="M33" s="47">
        <v>-0.6</v>
      </c>
      <c r="N33" s="47">
        <v>0</v>
      </c>
    </row>
    <row r="34" spans="1:16" s="37" customFormat="1" ht="14.25" customHeight="1" x14ac:dyDescent="0.35">
      <c r="A34" s="32" t="s">
        <v>61</v>
      </c>
      <c r="B34" s="50">
        <v>1910</v>
      </c>
      <c r="C34" s="50">
        <v>1811</v>
      </c>
      <c r="D34" s="50">
        <v>2117</v>
      </c>
      <c r="E34" s="34">
        <v>1.3</v>
      </c>
      <c r="F34" s="34">
        <v>1.2</v>
      </c>
      <c r="G34" s="34">
        <v>1.4</v>
      </c>
      <c r="H34" s="36">
        <v>0.8</v>
      </c>
      <c r="I34" s="50">
        <v>280</v>
      </c>
      <c r="J34" s="50">
        <v>265</v>
      </c>
      <c r="K34" s="50">
        <v>309</v>
      </c>
      <c r="L34" s="34">
        <v>0.5</v>
      </c>
      <c r="M34" s="34">
        <v>0.4</v>
      </c>
      <c r="N34" s="34">
        <v>0.6</v>
      </c>
    </row>
    <row r="35" spans="1:16" s="37" customFormat="1" ht="14.25" customHeight="1" x14ac:dyDescent="0.35">
      <c r="A35" s="45" t="s">
        <v>62</v>
      </c>
      <c r="B35" s="46">
        <v>1919</v>
      </c>
      <c r="C35" s="46">
        <v>1818</v>
      </c>
      <c r="D35" s="46">
        <v>2130</v>
      </c>
      <c r="E35" s="47">
        <v>0.5</v>
      </c>
      <c r="F35" s="47">
        <v>0.4</v>
      </c>
      <c r="G35" s="47">
        <v>0.6</v>
      </c>
      <c r="H35" s="49">
        <v>0.5</v>
      </c>
      <c r="I35" s="46">
        <v>280</v>
      </c>
      <c r="J35" s="46">
        <v>265</v>
      </c>
      <c r="K35" s="46">
        <v>310</v>
      </c>
      <c r="L35" s="47">
        <v>0</v>
      </c>
      <c r="M35" s="47">
        <v>-0.1</v>
      </c>
      <c r="N35" s="47">
        <v>0.1</v>
      </c>
    </row>
    <row r="36" spans="1:16" s="37" customFormat="1" ht="14.25" customHeight="1" x14ac:dyDescent="0.35">
      <c r="A36" s="32" t="s">
        <v>63</v>
      </c>
      <c r="B36" s="50">
        <v>1932</v>
      </c>
      <c r="C36" s="50">
        <v>1832</v>
      </c>
      <c r="D36" s="50">
        <v>2142</v>
      </c>
      <c r="E36" s="34">
        <v>0.7</v>
      </c>
      <c r="F36" s="34">
        <v>0.7</v>
      </c>
      <c r="G36" s="34">
        <v>0.5</v>
      </c>
      <c r="H36" s="36">
        <v>0</v>
      </c>
      <c r="I36" s="50">
        <v>282</v>
      </c>
      <c r="J36" s="50">
        <v>266</v>
      </c>
      <c r="K36" s="50">
        <v>311</v>
      </c>
      <c r="L36" s="34">
        <v>0.6</v>
      </c>
      <c r="M36" s="34">
        <v>0.7</v>
      </c>
      <c r="N36" s="34">
        <v>0.5</v>
      </c>
    </row>
    <row r="37" spans="1:16" s="37" customFormat="1" ht="14.25" customHeight="1" x14ac:dyDescent="0.35">
      <c r="A37" s="45" t="s">
        <v>64</v>
      </c>
      <c r="B37" s="46">
        <v>1938</v>
      </c>
      <c r="C37" s="46">
        <v>1835</v>
      </c>
      <c r="D37" s="46">
        <v>2156</v>
      </c>
      <c r="E37" s="47">
        <v>0.3</v>
      </c>
      <c r="F37" s="47">
        <v>0.1</v>
      </c>
      <c r="G37" s="47">
        <v>0.7</v>
      </c>
      <c r="H37" s="49">
        <v>0.8</v>
      </c>
      <c r="I37" s="46">
        <v>280</v>
      </c>
      <c r="J37" s="46">
        <v>265</v>
      </c>
      <c r="K37" s="46">
        <v>311</v>
      </c>
      <c r="L37" s="47">
        <v>-0.5</v>
      </c>
      <c r="M37" s="47">
        <v>-0.7</v>
      </c>
      <c r="N37" s="47">
        <v>-0.1</v>
      </c>
    </row>
    <row r="38" spans="1:16" s="37" customFormat="1" ht="14.25" customHeight="1" x14ac:dyDescent="0.35">
      <c r="A38" s="32" t="s">
        <v>65</v>
      </c>
      <c r="B38" s="50">
        <v>1963</v>
      </c>
      <c r="C38" s="50">
        <v>1856</v>
      </c>
      <c r="D38" s="50">
        <v>2190</v>
      </c>
      <c r="E38" s="34">
        <v>1.3</v>
      </c>
      <c r="F38" s="34">
        <v>1.2</v>
      </c>
      <c r="G38" s="34">
        <v>1.6</v>
      </c>
      <c r="H38" s="36">
        <v>1.6</v>
      </c>
      <c r="I38" s="50">
        <v>279</v>
      </c>
      <c r="J38" s="50">
        <v>264</v>
      </c>
      <c r="K38" s="50">
        <v>311</v>
      </c>
      <c r="L38" s="34">
        <v>-0.3</v>
      </c>
      <c r="M38" s="34">
        <v>-0.4</v>
      </c>
      <c r="N38" s="34">
        <v>0</v>
      </c>
    </row>
    <row r="39" spans="1:16" s="37" customFormat="1" ht="14.25" customHeight="1" x14ac:dyDescent="0.35">
      <c r="A39" s="45" t="s">
        <v>66</v>
      </c>
      <c r="B39" s="46">
        <v>2011</v>
      </c>
      <c r="C39" s="46">
        <v>1902</v>
      </c>
      <c r="D39" s="46">
        <v>2245</v>
      </c>
      <c r="E39" s="47">
        <v>2.5</v>
      </c>
      <c r="F39" s="47">
        <v>2.5</v>
      </c>
      <c r="G39" s="47">
        <v>2.5</v>
      </c>
      <c r="H39" s="49">
        <v>1</v>
      </c>
      <c r="I39" s="46">
        <v>284</v>
      </c>
      <c r="J39" s="46">
        <v>268</v>
      </c>
      <c r="K39" s="46">
        <v>316</v>
      </c>
      <c r="L39" s="47">
        <v>1.5</v>
      </c>
      <c r="M39" s="47">
        <v>1.5</v>
      </c>
      <c r="N39" s="47">
        <v>1.5</v>
      </c>
    </row>
    <row r="40" spans="1:16" s="37" customFormat="1" ht="14.25" customHeight="1" x14ac:dyDescent="0.35">
      <c r="A40" s="32" t="s">
        <v>67</v>
      </c>
      <c r="B40" s="50">
        <v>2047</v>
      </c>
      <c r="C40" s="50">
        <v>1933</v>
      </c>
      <c r="D40" s="50">
        <v>2296</v>
      </c>
      <c r="E40" s="34">
        <v>1.8</v>
      </c>
      <c r="F40" s="34">
        <v>1.6</v>
      </c>
      <c r="G40" s="34">
        <v>2.2999999999999998</v>
      </c>
      <c r="H40" s="36">
        <v>0.6</v>
      </c>
      <c r="I40" s="50">
        <v>287</v>
      </c>
      <c r="J40" s="50">
        <v>270</v>
      </c>
      <c r="K40" s="50">
        <v>321</v>
      </c>
      <c r="L40" s="34">
        <v>1.1000000000000001</v>
      </c>
      <c r="M40" s="34">
        <v>1</v>
      </c>
      <c r="N40" s="34">
        <v>1.6</v>
      </c>
    </row>
    <row r="41" spans="1:16" s="37" customFormat="1" ht="14.25" customHeight="1" x14ac:dyDescent="0.35">
      <c r="A41" s="45" t="s">
        <v>68</v>
      </c>
      <c r="B41" s="46">
        <v>2076</v>
      </c>
      <c r="C41" s="46">
        <v>1958</v>
      </c>
      <c r="D41" s="46">
        <v>2334</v>
      </c>
      <c r="E41" s="47">
        <v>1.4</v>
      </c>
      <c r="F41" s="47">
        <v>1.3</v>
      </c>
      <c r="G41" s="47">
        <v>1.7</v>
      </c>
      <c r="H41" s="49">
        <v>0.6</v>
      </c>
      <c r="I41" s="46">
        <v>289</v>
      </c>
      <c r="J41" s="46">
        <v>272</v>
      </c>
      <c r="K41" s="46">
        <v>324</v>
      </c>
      <c r="L41" s="47">
        <v>0.8</v>
      </c>
      <c r="M41" s="47">
        <v>0.7</v>
      </c>
      <c r="N41" s="47">
        <v>1</v>
      </c>
    </row>
    <row r="42" spans="1:16" s="37" customFormat="1" ht="14.25" customHeight="1" x14ac:dyDescent="0.35">
      <c r="A42" s="32" t="s">
        <v>69</v>
      </c>
      <c r="B42" s="50">
        <v>2095</v>
      </c>
      <c r="C42" s="50">
        <v>1975</v>
      </c>
      <c r="D42" s="50">
        <v>2360</v>
      </c>
      <c r="E42" s="34">
        <v>0.9</v>
      </c>
      <c r="F42" s="34">
        <v>0.9</v>
      </c>
      <c r="G42" s="34">
        <v>1.1000000000000001</v>
      </c>
      <c r="H42" s="36">
        <v>0.8</v>
      </c>
      <c r="I42" s="50">
        <v>289</v>
      </c>
      <c r="J42" s="50">
        <v>272</v>
      </c>
      <c r="K42" s="50">
        <v>325</v>
      </c>
      <c r="L42" s="34">
        <v>0.1</v>
      </c>
      <c r="M42" s="34">
        <v>0.1</v>
      </c>
      <c r="N42" s="34">
        <v>0.3</v>
      </c>
    </row>
    <row r="43" spans="1:16" s="37" customFormat="1" ht="14.25" customHeight="1" x14ac:dyDescent="0.35">
      <c r="A43" s="45" t="s">
        <v>70</v>
      </c>
      <c r="B43" s="46">
        <v>2115</v>
      </c>
      <c r="C43" s="46">
        <v>1992</v>
      </c>
      <c r="D43" s="46">
        <v>2386</v>
      </c>
      <c r="E43" s="47">
        <v>1</v>
      </c>
      <c r="F43" s="47">
        <v>0.9</v>
      </c>
      <c r="G43" s="47">
        <v>1.1000000000000001</v>
      </c>
      <c r="H43" s="49">
        <v>1.2</v>
      </c>
      <c r="I43" s="46">
        <v>289</v>
      </c>
      <c r="J43" s="46">
        <v>271</v>
      </c>
      <c r="K43" s="46">
        <v>325</v>
      </c>
      <c r="L43" s="47">
        <v>-0.2</v>
      </c>
      <c r="M43" s="47">
        <v>-0.3</v>
      </c>
      <c r="N43" s="47">
        <v>-0.1</v>
      </c>
    </row>
    <row r="44" spans="1:16" s="37" customFormat="1" ht="14.25" customHeight="1" x14ac:dyDescent="0.35">
      <c r="A44" s="32" t="s">
        <v>81</v>
      </c>
      <c r="B44" s="50">
        <v>2140</v>
      </c>
      <c r="C44" s="50">
        <v>2014</v>
      </c>
      <c r="D44" s="50">
        <v>2417</v>
      </c>
      <c r="E44" s="34">
        <v>1.2</v>
      </c>
      <c r="F44" s="34">
        <v>1.1000000000000001</v>
      </c>
      <c r="G44" s="34">
        <v>1.3</v>
      </c>
      <c r="H44" s="36">
        <v>1.1000000000000001</v>
      </c>
      <c r="I44" s="50">
        <v>289</v>
      </c>
      <c r="J44" s="50">
        <v>271</v>
      </c>
      <c r="K44" s="50">
        <v>326</v>
      </c>
      <c r="L44" s="34">
        <v>0.1</v>
      </c>
      <c r="M44" s="34">
        <v>0.1</v>
      </c>
      <c r="N44" s="34">
        <v>0.2</v>
      </c>
    </row>
    <row r="45" spans="1:16" s="37" customFormat="1" ht="14.25" customHeight="1" x14ac:dyDescent="0.35">
      <c r="A45" s="45" t="s">
        <v>88</v>
      </c>
      <c r="B45" s="46">
        <v>2175</v>
      </c>
      <c r="C45" s="46">
        <v>2047</v>
      </c>
      <c r="D45" s="46">
        <v>2454</v>
      </c>
      <c r="E45" s="47">
        <v>1.6</v>
      </c>
      <c r="F45" s="47">
        <v>1.6</v>
      </c>
      <c r="G45" s="47">
        <v>1.5</v>
      </c>
      <c r="H45" s="49">
        <v>0.7</v>
      </c>
      <c r="I45" s="46">
        <v>292</v>
      </c>
      <c r="J45" s="46">
        <v>274</v>
      </c>
      <c r="K45" s="46">
        <v>328</v>
      </c>
      <c r="L45" s="47">
        <v>0.9</v>
      </c>
      <c r="M45" s="47">
        <v>0.9</v>
      </c>
      <c r="N45" s="47">
        <v>0.8</v>
      </c>
    </row>
    <row r="46" spans="1:16" s="37" customFormat="1" ht="14.25" customHeight="1" x14ac:dyDescent="0.35">
      <c r="A46" s="32" t="s">
        <v>89</v>
      </c>
      <c r="B46" s="50">
        <v>2219</v>
      </c>
      <c r="C46" s="50">
        <v>2092</v>
      </c>
      <c r="D46" s="50">
        <v>2499</v>
      </c>
      <c r="E46" s="34">
        <v>2</v>
      </c>
      <c r="F46" s="34">
        <v>2.2000000000000002</v>
      </c>
      <c r="G46" s="34">
        <v>1.8</v>
      </c>
      <c r="H46" s="36">
        <v>2.4</v>
      </c>
      <c r="I46" s="50">
        <v>290</v>
      </c>
      <c r="J46" s="50">
        <v>273</v>
      </c>
      <c r="K46" s="50">
        <v>326</v>
      </c>
      <c r="L46" s="34">
        <v>-0.4</v>
      </c>
      <c r="M46" s="34">
        <v>-0.2</v>
      </c>
      <c r="N46" s="34">
        <v>-0.6</v>
      </c>
    </row>
    <row r="47" spans="1:16" s="37" customFormat="1" ht="14.25" customHeight="1" x14ac:dyDescent="0.35">
      <c r="A47" s="45" t="s">
        <v>90</v>
      </c>
      <c r="B47" s="46">
        <v>2266</v>
      </c>
      <c r="C47" s="46">
        <v>2136</v>
      </c>
      <c r="D47" s="46">
        <v>2552</v>
      </c>
      <c r="E47" s="47">
        <v>2.1</v>
      </c>
      <c r="F47" s="47">
        <v>2.1</v>
      </c>
      <c r="G47" s="47">
        <v>2.1</v>
      </c>
      <c r="H47" s="49">
        <v>-0.5</v>
      </c>
      <c r="I47" s="46">
        <v>298</v>
      </c>
      <c r="J47" s="46">
        <v>280</v>
      </c>
      <c r="K47" s="46">
        <v>335</v>
      </c>
      <c r="L47" s="47">
        <v>2.6</v>
      </c>
      <c r="M47" s="47">
        <v>2.6</v>
      </c>
      <c r="N47" s="47">
        <v>2.6</v>
      </c>
      <c r="O47" s="69"/>
      <c r="P47" s="69"/>
    </row>
    <row r="48" spans="1:16" s="53" customFormat="1" ht="16.5" customHeight="1" x14ac:dyDescent="0.3">
      <c r="A48" s="54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</row>
    <row r="49" spans="1:14" s="53" customFormat="1" ht="16.5" customHeight="1" x14ac:dyDescent="0.3">
      <c r="A49" s="18" t="s">
        <v>1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1:14" s="53" customFormat="1" x14ac:dyDescent="0.3">
      <c r="A50" s="18" t="s">
        <v>2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14" s="53" customFormat="1" x14ac:dyDescent="0.3">
      <c r="A51" s="54" t="s">
        <v>79</v>
      </c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s="58" customFormat="1" x14ac:dyDescent="0.3"/>
    <row r="53" spans="1:14" s="58" customFormat="1" x14ac:dyDescent="0.3">
      <c r="A53" s="58" t="s">
        <v>87</v>
      </c>
    </row>
    <row r="54" spans="1:14" x14ac:dyDescent="0.3">
      <c r="A54" s="67" t="s">
        <v>93</v>
      </c>
      <c r="B54" s="67"/>
      <c r="C54" s="67"/>
      <c r="D54" s="67"/>
      <c r="E54" s="67"/>
      <c r="F54" s="67"/>
      <c r="G54" s="67"/>
      <c r="H54" s="67"/>
      <c r="I54" s="67"/>
      <c r="J54" s="67"/>
      <c r="K54" s="57"/>
      <c r="L54" s="57"/>
      <c r="M54" s="57"/>
      <c r="N54" s="57"/>
    </row>
    <row r="55" spans="1:14" x14ac:dyDescent="0.3">
      <c r="A55" s="67" t="s">
        <v>94</v>
      </c>
      <c r="B55" s="67"/>
      <c r="C55" s="67"/>
      <c r="D55" s="68"/>
      <c r="E55" s="67"/>
      <c r="F55" s="67"/>
      <c r="G55" s="67"/>
      <c r="H55" s="67"/>
      <c r="I55" s="67"/>
      <c r="J55" s="67"/>
      <c r="K55" s="54"/>
      <c r="L55" s="54"/>
      <c r="M55" s="54"/>
      <c r="N55" s="54"/>
    </row>
    <row r="56" spans="1:14" x14ac:dyDescent="0.3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</row>
    <row r="57" spans="1:14" x14ac:dyDescent="0.3">
      <c r="A57" s="54"/>
      <c r="B57" s="60"/>
      <c r="C57" s="60"/>
      <c r="D57" s="60"/>
      <c r="E57" s="54"/>
      <c r="F57" s="54"/>
      <c r="G57" s="54"/>
      <c r="H57" s="54"/>
      <c r="I57" s="60"/>
      <c r="J57" s="60"/>
      <c r="K57" s="60"/>
      <c r="L57" s="54"/>
      <c r="M57" s="54"/>
      <c r="N57" s="54"/>
    </row>
    <row r="58" spans="1:14" x14ac:dyDescent="0.3">
      <c r="A58" s="54"/>
      <c r="B58" s="54"/>
      <c r="C58" s="54"/>
      <c r="D58" s="54"/>
      <c r="E58" s="54"/>
      <c r="F58" s="54"/>
      <c r="G58" s="54"/>
      <c r="H58" s="54"/>
      <c r="I58" s="60"/>
      <c r="J58" s="61"/>
      <c r="K58" s="54"/>
      <c r="L58" s="54"/>
      <c r="M58" s="54"/>
    </row>
    <row r="59" spans="1:14" x14ac:dyDescent="0.3">
      <c r="A59" s="54"/>
      <c r="B59" s="54"/>
      <c r="C59" s="54"/>
      <c r="D59" s="54"/>
      <c r="E59" s="54"/>
      <c r="F59" s="54"/>
      <c r="G59" s="54"/>
      <c r="H59" s="54"/>
      <c r="I59" s="60"/>
      <c r="J59" s="61"/>
      <c r="K59" s="54"/>
      <c r="L59" s="54"/>
      <c r="M59" s="54"/>
      <c r="N59" s="54"/>
    </row>
    <row r="60" spans="1:14" x14ac:dyDescent="0.3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</row>
    <row r="61" spans="1:14" x14ac:dyDescent="0.3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</row>
    <row r="62" spans="1:14" x14ac:dyDescent="0.3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</row>
    <row r="63" spans="1:14" x14ac:dyDescent="0.3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</row>
    <row r="64" spans="1:14" x14ac:dyDescent="0.3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</row>
    <row r="65" spans="1:14" x14ac:dyDescent="0.3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</row>
    <row r="66" spans="1:14" x14ac:dyDescent="0.3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</row>
    <row r="67" spans="1:14" x14ac:dyDescent="0.3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</row>
    <row r="68" spans="1:14" x14ac:dyDescent="0.3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</row>
    <row r="69" spans="1:14" x14ac:dyDescent="0.3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</row>
    <row r="70" spans="1:14" x14ac:dyDescent="0.3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</row>
    <row r="71" spans="1:14" x14ac:dyDescent="0.3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</row>
    <row r="72" spans="1:14" x14ac:dyDescent="0.3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</row>
    <row r="73" spans="1:14" x14ac:dyDescent="0.3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</row>
    <row r="74" spans="1:14" x14ac:dyDescent="0.3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</row>
    <row r="75" spans="1:14" x14ac:dyDescent="0.3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</row>
    <row r="76" spans="1:14" x14ac:dyDescent="0.3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</row>
    <row r="77" spans="1:14" x14ac:dyDescent="0.3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</row>
    <row r="78" spans="1:14" x14ac:dyDescent="0.3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</row>
    <row r="79" spans="1:14" x14ac:dyDescent="0.3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</row>
    <row r="80" spans="1:14" x14ac:dyDescent="0.3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</row>
    <row r="81" spans="1:14" x14ac:dyDescent="0.3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</row>
    <row r="82" spans="1:14" x14ac:dyDescent="0.3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</row>
    <row r="83" spans="1:14" x14ac:dyDescent="0.3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</row>
    <row r="84" spans="1:14" x14ac:dyDescent="0.3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</row>
    <row r="85" spans="1:14" x14ac:dyDescent="0.3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</row>
    <row r="86" spans="1:14" x14ac:dyDescent="0.3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</row>
    <row r="87" spans="1:14" x14ac:dyDescent="0.3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</row>
    <row r="88" spans="1:14" x14ac:dyDescent="0.3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</row>
    <row r="89" spans="1:14" x14ac:dyDescent="0.3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</row>
    <row r="90" spans="1:14" x14ac:dyDescent="0.3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</row>
    <row r="91" spans="1:14" x14ac:dyDescent="0.3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</row>
    <row r="92" spans="1:14" x14ac:dyDescent="0.3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</row>
    <row r="93" spans="1:14" x14ac:dyDescent="0.3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</row>
    <row r="94" spans="1:14" x14ac:dyDescent="0.3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</row>
    <row r="95" spans="1:14" x14ac:dyDescent="0.3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</row>
    <row r="96" spans="1:14" x14ac:dyDescent="0.3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</row>
    <row r="97" spans="1:14" x14ac:dyDescent="0.3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</row>
    <row r="98" spans="1:14" x14ac:dyDescent="0.3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</row>
    <row r="99" spans="1:14" x14ac:dyDescent="0.3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</row>
    <row r="100" spans="1:14" x14ac:dyDescent="0.3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</row>
    <row r="101" spans="1:14" x14ac:dyDescent="0.3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</row>
    <row r="102" spans="1:14" x14ac:dyDescent="0.3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</row>
    <row r="103" spans="1:14" x14ac:dyDescent="0.3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</row>
    <row r="104" spans="1:14" x14ac:dyDescent="0.3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</row>
    <row r="105" spans="1:14" x14ac:dyDescent="0.3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</row>
    <row r="106" spans="1:14" x14ac:dyDescent="0.3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</row>
    <row r="107" spans="1:14" x14ac:dyDescent="0.3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</row>
    <row r="108" spans="1:14" x14ac:dyDescent="0.3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</row>
    <row r="109" spans="1:14" x14ac:dyDescent="0.3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</row>
    <row r="110" spans="1:14" x14ac:dyDescent="0.3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</row>
    <row r="111" spans="1:14" x14ac:dyDescent="0.3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</row>
    <row r="112" spans="1:14" x14ac:dyDescent="0.3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</row>
    <row r="113" spans="1:14" x14ac:dyDescent="0.3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</row>
    <row r="114" spans="1:14" x14ac:dyDescent="0.3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</row>
    <row r="115" spans="1:14" x14ac:dyDescent="0.3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</row>
    <row r="116" spans="1:14" x14ac:dyDescent="0.3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</row>
    <row r="117" spans="1:14" x14ac:dyDescent="0.3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</row>
    <row r="118" spans="1:14" x14ac:dyDescent="0.3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</row>
    <row r="119" spans="1:14" x14ac:dyDescent="0.3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</row>
    <row r="120" spans="1:14" x14ac:dyDescent="0.3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</row>
    <row r="121" spans="1:14" x14ac:dyDescent="0.3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</row>
    <row r="122" spans="1:14" x14ac:dyDescent="0.3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</row>
    <row r="123" spans="1:14" x14ac:dyDescent="0.3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</row>
    <row r="124" spans="1:14" x14ac:dyDescent="0.3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</row>
    <row r="125" spans="1:14" x14ac:dyDescent="0.3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</row>
    <row r="126" spans="1:14" x14ac:dyDescent="0.3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</row>
    <row r="127" spans="1:14" x14ac:dyDescent="0.3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</row>
    <row r="128" spans="1:14" x14ac:dyDescent="0.3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</row>
    <row r="129" spans="1:14" x14ac:dyDescent="0.3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</row>
    <row r="130" spans="1:14" x14ac:dyDescent="0.3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</row>
    <row r="131" spans="1:14" x14ac:dyDescent="0.3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</row>
    <row r="132" spans="1:14" x14ac:dyDescent="0.3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</row>
    <row r="133" spans="1:14" x14ac:dyDescent="0.3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</row>
    <row r="134" spans="1:14" x14ac:dyDescent="0.3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</row>
    <row r="135" spans="1:14" x14ac:dyDescent="0.3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</row>
    <row r="136" spans="1:14" x14ac:dyDescent="0.3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</row>
    <row r="137" spans="1:14" x14ac:dyDescent="0.3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</row>
    <row r="138" spans="1:14" x14ac:dyDescent="0.3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</row>
    <row r="139" spans="1:14" x14ac:dyDescent="0.3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</row>
    <row r="140" spans="1:14" x14ac:dyDescent="0.3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</row>
    <row r="141" spans="1:14" x14ac:dyDescent="0.3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</row>
    <row r="142" spans="1:14" x14ac:dyDescent="0.3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</row>
    <row r="143" spans="1:14" x14ac:dyDescent="0.3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</row>
    <row r="144" spans="1:14" x14ac:dyDescent="0.3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</row>
    <row r="145" spans="1:14" x14ac:dyDescent="0.3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</row>
    <row r="146" spans="1:14" x14ac:dyDescent="0.3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</row>
    <row r="147" spans="1:14" x14ac:dyDescent="0.3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</row>
    <row r="148" spans="1:14" x14ac:dyDescent="0.3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</row>
    <row r="149" spans="1:14" x14ac:dyDescent="0.3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</row>
    <row r="150" spans="1:14" x14ac:dyDescent="0.3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</row>
    <row r="151" spans="1:14" x14ac:dyDescent="0.3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</row>
    <row r="152" spans="1:14" x14ac:dyDescent="0.3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</row>
    <row r="153" spans="1:14" x14ac:dyDescent="0.3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</row>
    <row r="154" spans="1:14" x14ac:dyDescent="0.3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</row>
    <row r="155" spans="1:14" x14ac:dyDescent="0.3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</row>
    <row r="156" spans="1:14" x14ac:dyDescent="0.3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</row>
    <row r="157" spans="1:14" x14ac:dyDescent="0.3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</row>
    <row r="158" spans="1:14" x14ac:dyDescent="0.3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</row>
    <row r="159" spans="1:14" x14ac:dyDescent="0.3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</row>
    <row r="160" spans="1:14" x14ac:dyDescent="0.3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</row>
    <row r="161" spans="1:14" x14ac:dyDescent="0.3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</row>
    <row r="162" spans="1:14" x14ac:dyDescent="0.3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</row>
    <row r="163" spans="1:14" x14ac:dyDescent="0.3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</row>
    <row r="164" spans="1:14" x14ac:dyDescent="0.3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</row>
    <row r="165" spans="1:14" x14ac:dyDescent="0.3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</row>
    <row r="166" spans="1:14" x14ac:dyDescent="0.3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</row>
    <row r="167" spans="1:14" x14ac:dyDescent="0.3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</row>
    <row r="168" spans="1:14" x14ac:dyDescent="0.3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</row>
    <row r="169" spans="1:14" x14ac:dyDescent="0.3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</row>
    <row r="170" spans="1:14" x14ac:dyDescent="0.3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</row>
    <row r="171" spans="1:14" x14ac:dyDescent="0.3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</row>
    <row r="172" spans="1:14" x14ac:dyDescent="0.3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</row>
    <row r="173" spans="1:14" x14ac:dyDescent="0.3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</row>
    <row r="174" spans="1:14" x14ac:dyDescent="0.3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</row>
    <row r="175" spans="1:14" x14ac:dyDescent="0.3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</row>
    <row r="176" spans="1:14" x14ac:dyDescent="0.3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</row>
    <row r="177" spans="1:14" x14ac:dyDescent="0.3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</row>
    <row r="178" spans="1:14" x14ac:dyDescent="0.3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</row>
    <row r="179" spans="1:14" x14ac:dyDescent="0.3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</row>
    <row r="180" spans="1:14" x14ac:dyDescent="0.3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</row>
    <row r="181" spans="1:14" x14ac:dyDescent="0.3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</row>
    <row r="182" spans="1:14" x14ac:dyDescent="0.3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</row>
    <row r="183" spans="1:14" x14ac:dyDescent="0.3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</row>
    <row r="184" spans="1:14" x14ac:dyDescent="0.3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</row>
    <row r="185" spans="1:14" x14ac:dyDescent="0.3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</row>
    <row r="186" spans="1:14" x14ac:dyDescent="0.3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</row>
    <row r="187" spans="1:14" x14ac:dyDescent="0.3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</row>
    <row r="188" spans="1:14" x14ac:dyDescent="0.3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</row>
    <row r="189" spans="1:14" x14ac:dyDescent="0.3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</row>
    <row r="190" spans="1:14" x14ac:dyDescent="0.3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</row>
    <row r="191" spans="1:14" x14ac:dyDescent="0.3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</row>
    <row r="192" spans="1:14" x14ac:dyDescent="0.3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</row>
    <row r="193" spans="1:14" x14ac:dyDescent="0.3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</row>
    <row r="194" spans="1:14" x14ac:dyDescent="0.3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</row>
    <row r="195" spans="1:14" x14ac:dyDescent="0.3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</row>
    <row r="196" spans="1:14" x14ac:dyDescent="0.3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</row>
    <row r="197" spans="1:14" x14ac:dyDescent="0.3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</row>
    <row r="198" spans="1:14" x14ac:dyDescent="0.3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</row>
    <row r="199" spans="1:14" x14ac:dyDescent="0.3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</row>
    <row r="200" spans="1:14" x14ac:dyDescent="0.3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</row>
    <row r="201" spans="1:14" x14ac:dyDescent="0.3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</row>
    <row r="202" spans="1:14" x14ac:dyDescent="0.3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</row>
    <row r="203" spans="1:14" x14ac:dyDescent="0.3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</row>
    <row r="204" spans="1:14" x14ac:dyDescent="0.3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</row>
    <row r="205" spans="1:14" x14ac:dyDescent="0.3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</row>
    <row r="206" spans="1:14" x14ac:dyDescent="0.3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</row>
    <row r="207" spans="1:14" x14ac:dyDescent="0.3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</row>
    <row r="208" spans="1:14" x14ac:dyDescent="0.3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</row>
    <row r="209" spans="1:14" x14ac:dyDescent="0.3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</row>
    <row r="210" spans="1:14" x14ac:dyDescent="0.3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</row>
    <row r="211" spans="1:14" x14ac:dyDescent="0.3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</row>
    <row r="212" spans="1:14" x14ac:dyDescent="0.3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</row>
    <row r="213" spans="1:14" x14ac:dyDescent="0.3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</row>
    <row r="214" spans="1:14" x14ac:dyDescent="0.3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</row>
    <row r="215" spans="1:14" x14ac:dyDescent="0.3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</row>
    <row r="216" spans="1:14" x14ac:dyDescent="0.3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</row>
    <row r="217" spans="1:14" x14ac:dyDescent="0.3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</row>
    <row r="218" spans="1:14" x14ac:dyDescent="0.3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</row>
    <row r="219" spans="1:14" x14ac:dyDescent="0.3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</row>
    <row r="220" spans="1:14" x14ac:dyDescent="0.3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</row>
    <row r="221" spans="1:14" x14ac:dyDescent="0.3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</row>
    <row r="222" spans="1:14" x14ac:dyDescent="0.3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</row>
    <row r="223" spans="1:14" x14ac:dyDescent="0.3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</row>
    <row r="224" spans="1:14" x14ac:dyDescent="0.3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</row>
    <row r="225" spans="1:14" x14ac:dyDescent="0.3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</row>
    <row r="226" spans="1:14" x14ac:dyDescent="0.3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</row>
    <row r="227" spans="1:14" x14ac:dyDescent="0.3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</row>
    <row r="228" spans="1:14" x14ac:dyDescent="0.3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</row>
    <row r="229" spans="1:14" x14ac:dyDescent="0.3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</row>
    <row r="230" spans="1:14" x14ac:dyDescent="0.3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</row>
    <row r="231" spans="1:14" x14ac:dyDescent="0.3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</row>
    <row r="232" spans="1:14" x14ac:dyDescent="0.3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</row>
    <row r="233" spans="1:14" x14ac:dyDescent="0.3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</row>
    <row r="234" spans="1:14" x14ac:dyDescent="0.3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</row>
    <row r="235" spans="1:14" x14ac:dyDescent="0.3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</row>
    <row r="236" spans="1:14" x14ac:dyDescent="0.3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</row>
    <row r="237" spans="1:14" x14ac:dyDescent="0.3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</row>
    <row r="238" spans="1:14" x14ac:dyDescent="0.3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</row>
    <row r="239" spans="1:14" x14ac:dyDescent="0.3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</row>
    <row r="240" spans="1:14" x14ac:dyDescent="0.3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</row>
    <row r="241" spans="1:14" x14ac:dyDescent="0.3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</row>
    <row r="242" spans="1:14" x14ac:dyDescent="0.3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</row>
    <row r="243" spans="1:14" x14ac:dyDescent="0.3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</row>
    <row r="244" spans="1:14" x14ac:dyDescent="0.3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</row>
    <row r="245" spans="1:14" x14ac:dyDescent="0.3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</row>
    <row r="246" spans="1:14" x14ac:dyDescent="0.3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</row>
    <row r="247" spans="1:14" x14ac:dyDescent="0.3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</row>
    <row r="248" spans="1:14" x14ac:dyDescent="0.3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</row>
    <row r="249" spans="1:14" x14ac:dyDescent="0.3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</row>
    <row r="250" spans="1:14" x14ac:dyDescent="0.3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</row>
    <row r="251" spans="1:14" x14ac:dyDescent="0.3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</row>
    <row r="252" spans="1:14" x14ac:dyDescent="0.3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</row>
    <row r="253" spans="1:14" x14ac:dyDescent="0.3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</row>
    <row r="254" spans="1:14" x14ac:dyDescent="0.3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</row>
    <row r="255" spans="1:14" x14ac:dyDescent="0.3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</row>
    <row r="256" spans="1:14" x14ac:dyDescent="0.3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</row>
    <row r="257" spans="1:14" x14ac:dyDescent="0.3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</row>
    <row r="258" spans="1:14" x14ac:dyDescent="0.3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</row>
    <row r="259" spans="1:14" x14ac:dyDescent="0.3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</row>
    <row r="260" spans="1:14" x14ac:dyDescent="0.3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</row>
    <row r="261" spans="1:14" x14ac:dyDescent="0.3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</row>
    <row r="262" spans="1:14" x14ac:dyDescent="0.3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</row>
    <row r="263" spans="1:14" x14ac:dyDescent="0.3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</row>
    <row r="264" spans="1:14" x14ac:dyDescent="0.3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</row>
    <row r="265" spans="1:14" x14ac:dyDescent="0.3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</row>
    <row r="266" spans="1:14" x14ac:dyDescent="0.3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</row>
    <row r="267" spans="1:14" x14ac:dyDescent="0.3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</row>
    <row r="268" spans="1:14" x14ac:dyDescent="0.3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</row>
    <row r="269" spans="1:14" x14ac:dyDescent="0.3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</row>
    <row r="270" spans="1:14" x14ac:dyDescent="0.3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</row>
    <row r="271" spans="1:14" x14ac:dyDescent="0.3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</row>
    <row r="272" spans="1:14" x14ac:dyDescent="0.3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</row>
    <row r="273" spans="1:14" x14ac:dyDescent="0.3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</row>
    <row r="274" spans="1:14" x14ac:dyDescent="0.3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</row>
    <row r="275" spans="1:14" x14ac:dyDescent="0.3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</row>
    <row r="276" spans="1:14" x14ac:dyDescent="0.3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</row>
    <row r="277" spans="1:14" x14ac:dyDescent="0.3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</row>
    <row r="278" spans="1:14" x14ac:dyDescent="0.3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</row>
    <row r="279" spans="1:14" x14ac:dyDescent="0.3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</row>
    <row r="280" spans="1:14" x14ac:dyDescent="0.3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</row>
    <row r="281" spans="1:14" x14ac:dyDescent="0.3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</row>
    <row r="282" spans="1:14" x14ac:dyDescent="0.3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</row>
    <row r="283" spans="1:14" x14ac:dyDescent="0.3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</row>
    <row r="284" spans="1:14" x14ac:dyDescent="0.3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</row>
    <row r="285" spans="1:14" x14ac:dyDescent="0.3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</row>
    <row r="286" spans="1:14" x14ac:dyDescent="0.3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</row>
    <row r="287" spans="1:14" x14ac:dyDescent="0.3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</row>
    <row r="288" spans="1:14" x14ac:dyDescent="0.3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</row>
    <row r="289" spans="1:14" x14ac:dyDescent="0.3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</row>
    <row r="290" spans="1:14" x14ac:dyDescent="0.3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</row>
    <row r="291" spans="1:14" x14ac:dyDescent="0.3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</row>
    <row r="292" spans="1:14" x14ac:dyDescent="0.3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</row>
    <row r="293" spans="1:14" x14ac:dyDescent="0.3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</row>
    <row r="294" spans="1:14" x14ac:dyDescent="0.3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</row>
    <row r="295" spans="1:14" x14ac:dyDescent="0.3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</row>
    <row r="296" spans="1:14" x14ac:dyDescent="0.3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</row>
    <row r="297" spans="1:14" x14ac:dyDescent="0.3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</row>
    <row r="298" spans="1:14" x14ac:dyDescent="0.3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</row>
    <row r="299" spans="1:14" x14ac:dyDescent="0.3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</row>
    <row r="300" spans="1:14" x14ac:dyDescent="0.3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</row>
    <row r="301" spans="1:14" x14ac:dyDescent="0.3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</row>
    <row r="302" spans="1:14" x14ac:dyDescent="0.3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</row>
    <row r="303" spans="1:14" x14ac:dyDescent="0.3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</row>
    <row r="304" spans="1:14" x14ac:dyDescent="0.3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</row>
    <row r="305" spans="1:14" x14ac:dyDescent="0.3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</row>
    <row r="306" spans="1:14" x14ac:dyDescent="0.3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</row>
    <row r="307" spans="1:14" x14ac:dyDescent="0.3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</row>
    <row r="308" spans="1:14" x14ac:dyDescent="0.3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</row>
    <row r="309" spans="1:14" x14ac:dyDescent="0.3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</row>
    <row r="310" spans="1:14" x14ac:dyDescent="0.3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</row>
    <row r="311" spans="1:14" x14ac:dyDescent="0.3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</row>
    <row r="312" spans="1:14" x14ac:dyDescent="0.3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</row>
    <row r="313" spans="1:14" x14ac:dyDescent="0.3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</row>
    <row r="314" spans="1:14" x14ac:dyDescent="0.3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</row>
    <row r="315" spans="1:14" x14ac:dyDescent="0.3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</row>
    <row r="316" spans="1:14" x14ac:dyDescent="0.3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</row>
    <row r="317" spans="1:14" x14ac:dyDescent="0.3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</row>
    <row r="318" spans="1:14" x14ac:dyDescent="0.3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</row>
    <row r="319" spans="1:14" x14ac:dyDescent="0.3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</row>
    <row r="320" spans="1:14" x14ac:dyDescent="0.3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</row>
    <row r="321" spans="1:14" x14ac:dyDescent="0.3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</row>
    <row r="322" spans="1:14" x14ac:dyDescent="0.3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</row>
    <row r="323" spans="1:14" x14ac:dyDescent="0.3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</row>
    <row r="324" spans="1:14" x14ac:dyDescent="0.3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</row>
    <row r="325" spans="1:14" x14ac:dyDescent="0.3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</row>
    <row r="326" spans="1:14" x14ac:dyDescent="0.3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</row>
    <row r="327" spans="1:14" x14ac:dyDescent="0.3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</row>
    <row r="328" spans="1:14" x14ac:dyDescent="0.3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</row>
    <row r="329" spans="1:14" x14ac:dyDescent="0.3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</row>
    <row r="330" spans="1:14" x14ac:dyDescent="0.3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</row>
    <row r="331" spans="1:14" x14ac:dyDescent="0.3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</row>
    <row r="332" spans="1:14" x14ac:dyDescent="0.3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</row>
    <row r="333" spans="1:14" x14ac:dyDescent="0.3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</row>
    <row r="334" spans="1:14" x14ac:dyDescent="0.3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</row>
    <row r="335" spans="1:14" x14ac:dyDescent="0.3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</row>
    <row r="336" spans="1:14" x14ac:dyDescent="0.3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</row>
    <row r="337" spans="1:14" x14ac:dyDescent="0.3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</row>
    <row r="338" spans="1:14" x14ac:dyDescent="0.3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</row>
    <row r="339" spans="1:14" x14ac:dyDescent="0.3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</row>
    <row r="340" spans="1:14" x14ac:dyDescent="0.3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</row>
    <row r="341" spans="1:14" x14ac:dyDescent="0.3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</row>
    <row r="342" spans="1:14" x14ac:dyDescent="0.3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</row>
    <row r="343" spans="1:14" x14ac:dyDescent="0.3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</row>
    <row r="344" spans="1:14" x14ac:dyDescent="0.3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</row>
    <row r="345" spans="1:14" x14ac:dyDescent="0.3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</row>
    <row r="346" spans="1:14" x14ac:dyDescent="0.3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</row>
    <row r="347" spans="1:14" x14ac:dyDescent="0.3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</row>
    <row r="348" spans="1:14" x14ac:dyDescent="0.3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</row>
    <row r="349" spans="1:14" x14ac:dyDescent="0.3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</row>
    <row r="350" spans="1:14" x14ac:dyDescent="0.3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</row>
    <row r="351" spans="1:14" x14ac:dyDescent="0.3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</row>
    <row r="352" spans="1:14" x14ac:dyDescent="0.3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</row>
    <row r="353" spans="1:14" x14ac:dyDescent="0.3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</row>
    <row r="354" spans="1:14" x14ac:dyDescent="0.3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</row>
    <row r="355" spans="1:14" x14ac:dyDescent="0.3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</row>
    <row r="356" spans="1:14" x14ac:dyDescent="0.3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</row>
    <row r="357" spans="1:14" x14ac:dyDescent="0.3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</row>
    <row r="358" spans="1:14" x14ac:dyDescent="0.3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</row>
    <row r="359" spans="1:14" x14ac:dyDescent="0.3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</row>
    <row r="360" spans="1:14" x14ac:dyDescent="0.3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</row>
    <row r="361" spans="1:14" x14ac:dyDescent="0.3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</row>
    <row r="362" spans="1:14" x14ac:dyDescent="0.3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</row>
    <row r="363" spans="1:14" x14ac:dyDescent="0.3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</row>
    <row r="364" spans="1:14" x14ac:dyDescent="0.3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</row>
    <row r="365" spans="1:14" x14ac:dyDescent="0.3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</row>
    <row r="366" spans="1:14" x14ac:dyDescent="0.3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</row>
    <row r="367" spans="1:14" x14ac:dyDescent="0.3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</row>
    <row r="368" spans="1:14" x14ac:dyDescent="0.3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</row>
    <row r="369" spans="1:14" x14ac:dyDescent="0.3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</row>
    <row r="370" spans="1:14" x14ac:dyDescent="0.3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</row>
    <row r="371" spans="1:14" x14ac:dyDescent="0.3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</row>
    <row r="372" spans="1:14" x14ac:dyDescent="0.3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</row>
    <row r="373" spans="1:14" x14ac:dyDescent="0.3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</row>
    <row r="374" spans="1:14" x14ac:dyDescent="0.3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</row>
    <row r="375" spans="1:14" x14ac:dyDescent="0.3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</row>
    <row r="376" spans="1:14" x14ac:dyDescent="0.3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</row>
    <row r="377" spans="1:14" x14ac:dyDescent="0.3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</row>
    <row r="378" spans="1:14" x14ac:dyDescent="0.3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</row>
    <row r="379" spans="1:14" x14ac:dyDescent="0.3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</row>
    <row r="380" spans="1:14" x14ac:dyDescent="0.3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</row>
    <row r="381" spans="1:14" x14ac:dyDescent="0.3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</row>
    <row r="382" spans="1:14" x14ac:dyDescent="0.3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</row>
    <row r="383" spans="1:14" x14ac:dyDescent="0.3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</row>
    <row r="384" spans="1:14" x14ac:dyDescent="0.3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</row>
    <row r="385" spans="1:14" x14ac:dyDescent="0.3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</row>
    <row r="386" spans="1:14" x14ac:dyDescent="0.3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</row>
    <row r="387" spans="1:14" x14ac:dyDescent="0.3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</row>
    <row r="388" spans="1:14" x14ac:dyDescent="0.3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</row>
    <row r="389" spans="1:14" x14ac:dyDescent="0.3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</row>
    <row r="390" spans="1:14" x14ac:dyDescent="0.3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</row>
    <row r="391" spans="1:14" x14ac:dyDescent="0.3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</row>
    <row r="392" spans="1:14" x14ac:dyDescent="0.3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</row>
    <row r="393" spans="1:14" x14ac:dyDescent="0.3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</row>
    <row r="394" spans="1:14" x14ac:dyDescent="0.3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</row>
    <row r="395" spans="1:14" x14ac:dyDescent="0.3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</row>
    <row r="396" spans="1:14" x14ac:dyDescent="0.3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</row>
    <row r="397" spans="1:14" x14ac:dyDescent="0.3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</row>
    <row r="398" spans="1:14" x14ac:dyDescent="0.3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</row>
    <row r="399" spans="1:14" x14ac:dyDescent="0.3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</row>
    <row r="400" spans="1:14" x14ac:dyDescent="0.3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</row>
    <row r="401" spans="1:14" x14ac:dyDescent="0.3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</row>
    <row r="402" spans="1:14" x14ac:dyDescent="0.3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</row>
    <row r="403" spans="1:14" x14ac:dyDescent="0.3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</row>
    <row r="404" spans="1:14" x14ac:dyDescent="0.3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</row>
    <row r="405" spans="1:14" x14ac:dyDescent="0.3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</row>
    <row r="406" spans="1:14" x14ac:dyDescent="0.3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</row>
    <row r="407" spans="1:14" x14ac:dyDescent="0.3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</row>
    <row r="408" spans="1:14" x14ac:dyDescent="0.3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</row>
    <row r="409" spans="1:14" x14ac:dyDescent="0.3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</row>
    <row r="410" spans="1:14" x14ac:dyDescent="0.3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</row>
    <row r="411" spans="1:14" x14ac:dyDescent="0.3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</row>
    <row r="412" spans="1:14" x14ac:dyDescent="0.3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</row>
    <row r="413" spans="1:14" x14ac:dyDescent="0.3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</row>
    <row r="414" spans="1:14" x14ac:dyDescent="0.3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</row>
    <row r="415" spans="1:14" x14ac:dyDescent="0.3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</row>
    <row r="416" spans="1:14" x14ac:dyDescent="0.3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</row>
    <row r="417" spans="1:14" x14ac:dyDescent="0.3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</row>
    <row r="418" spans="1:14" x14ac:dyDescent="0.3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</row>
    <row r="419" spans="1:14" x14ac:dyDescent="0.3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</row>
    <row r="420" spans="1:14" x14ac:dyDescent="0.3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</row>
    <row r="421" spans="1:14" x14ac:dyDescent="0.3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</row>
    <row r="422" spans="1:14" x14ac:dyDescent="0.3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</row>
    <row r="423" spans="1:14" x14ac:dyDescent="0.3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</row>
    <row r="424" spans="1:14" x14ac:dyDescent="0.3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</row>
    <row r="425" spans="1:14" x14ac:dyDescent="0.3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</row>
    <row r="426" spans="1:14" x14ac:dyDescent="0.3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</row>
    <row r="427" spans="1:14" x14ac:dyDescent="0.3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</row>
    <row r="428" spans="1:14" x14ac:dyDescent="0.3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</row>
    <row r="429" spans="1:14" x14ac:dyDescent="0.3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</row>
    <row r="430" spans="1:14" x14ac:dyDescent="0.3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</row>
    <row r="431" spans="1:14" x14ac:dyDescent="0.3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</row>
    <row r="432" spans="1:14" x14ac:dyDescent="0.3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</row>
    <row r="433" spans="1:14" x14ac:dyDescent="0.3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</row>
    <row r="434" spans="1:14" x14ac:dyDescent="0.3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</row>
    <row r="435" spans="1:14" x14ac:dyDescent="0.3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</row>
    <row r="436" spans="1:14" x14ac:dyDescent="0.3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</row>
    <row r="437" spans="1:14" x14ac:dyDescent="0.3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</row>
    <row r="438" spans="1:14" x14ac:dyDescent="0.3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</row>
    <row r="439" spans="1:14" x14ac:dyDescent="0.3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</row>
    <row r="440" spans="1:14" x14ac:dyDescent="0.3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</row>
    <row r="441" spans="1:14" x14ac:dyDescent="0.3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</row>
    <row r="442" spans="1:14" x14ac:dyDescent="0.3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</row>
    <row r="443" spans="1:14" x14ac:dyDescent="0.3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</row>
    <row r="444" spans="1:14" x14ac:dyDescent="0.3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</row>
    <row r="445" spans="1:14" x14ac:dyDescent="0.3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</row>
    <row r="446" spans="1:14" x14ac:dyDescent="0.3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</row>
    <row r="447" spans="1:14" x14ac:dyDescent="0.3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</row>
    <row r="448" spans="1:14" x14ac:dyDescent="0.3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</row>
    <row r="449" spans="1:14" x14ac:dyDescent="0.3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</row>
    <row r="450" spans="1:14" x14ac:dyDescent="0.3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</row>
    <row r="451" spans="1:14" x14ac:dyDescent="0.3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</row>
    <row r="452" spans="1:14" x14ac:dyDescent="0.3"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</row>
    <row r="453" spans="1:14" x14ac:dyDescent="0.3"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</row>
    <row r="454" spans="1:14" x14ac:dyDescent="0.3"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</row>
  </sheetData>
  <mergeCells count="5">
    <mergeCell ref="B7:D9"/>
    <mergeCell ref="I7:K9"/>
    <mergeCell ref="L7:N9"/>
    <mergeCell ref="E7:G9"/>
    <mergeCell ref="H7:H12"/>
  </mergeCells>
  <phoneticPr fontId="3" type="noConversion"/>
  <pageMargins left="0.39370078740157483" right="0.39370078740157483" top="0.59055118110236227" bottom="0.59055118110236227" header="0.39370078740157483" footer="0.39370078740157483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P459"/>
  <sheetViews>
    <sheetView zoomScaleNormal="100" workbookViewId="0">
      <selection activeCell="B17" sqref="B17:B50"/>
    </sheetView>
  </sheetViews>
  <sheetFormatPr baseColWidth="10" defaultColWidth="11.46484375" defaultRowHeight="10.15" x14ac:dyDescent="0.3"/>
  <cols>
    <col min="1" max="1" width="5.53125" style="19" customWidth="1"/>
    <col min="2" max="7" width="6.53125" style="19" customWidth="1"/>
    <col min="8" max="8" width="11.19921875" style="19" customWidth="1"/>
    <col min="9" max="9" width="6.53125" style="122" customWidth="1"/>
    <col min="10" max="14" width="6.53125" style="19" customWidth="1"/>
    <col min="15" max="16384" width="11.46484375" style="56"/>
  </cols>
  <sheetData>
    <row r="1" spans="1:14" s="23" customFormat="1" ht="11.65" x14ac:dyDescent="0.35">
      <c r="A1" s="20" t="s">
        <v>99</v>
      </c>
      <c r="B1" s="21"/>
      <c r="C1" s="21"/>
      <c r="D1" s="21"/>
      <c r="E1" s="21"/>
      <c r="F1" s="21"/>
      <c r="G1" s="21"/>
      <c r="H1" s="21"/>
      <c r="I1" s="105"/>
      <c r="J1" s="21"/>
      <c r="K1" s="21"/>
      <c r="L1" s="21"/>
      <c r="M1" s="21"/>
      <c r="N1" s="21"/>
    </row>
    <row r="2" spans="1:14" s="24" customFormat="1" ht="11.65" x14ac:dyDescent="0.35">
      <c r="A2" s="22"/>
      <c r="B2" s="22"/>
      <c r="C2" s="22"/>
      <c r="D2" s="22"/>
      <c r="E2" s="22"/>
      <c r="F2" s="22"/>
      <c r="G2" s="22"/>
      <c r="H2" s="22"/>
      <c r="I2" s="106"/>
      <c r="J2" s="22"/>
      <c r="K2" s="22"/>
      <c r="L2" s="22"/>
      <c r="M2" s="22"/>
      <c r="N2" s="22"/>
    </row>
    <row r="3" spans="1:14" s="27" customFormat="1" ht="4.05" customHeight="1" x14ac:dyDescent="0.3">
      <c r="A3" s="62"/>
      <c r="B3" s="3"/>
      <c r="C3" s="1"/>
      <c r="D3" s="1"/>
      <c r="E3" s="1"/>
      <c r="F3" s="1"/>
      <c r="G3" s="4"/>
      <c r="H3" s="2"/>
      <c r="I3" s="107"/>
      <c r="J3" s="1"/>
      <c r="K3" s="1"/>
      <c r="L3" s="1"/>
      <c r="M3" s="1"/>
      <c r="N3" s="1"/>
    </row>
    <row r="4" spans="1:14" s="27" customFormat="1" ht="12" customHeight="1" x14ac:dyDescent="0.3">
      <c r="A4" s="28"/>
      <c r="B4" s="7" t="s">
        <v>82</v>
      </c>
      <c r="C4" s="5"/>
      <c r="D4" s="5"/>
      <c r="E4" s="5"/>
      <c r="F4" s="5"/>
      <c r="G4" s="8"/>
      <c r="H4" s="6" t="s">
        <v>78</v>
      </c>
      <c r="I4" s="108" t="s">
        <v>76</v>
      </c>
      <c r="J4" s="5"/>
      <c r="K4" s="5"/>
      <c r="L4" s="5"/>
      <c r="M4" s="5"/>
      <c r="N4" s="5"/>
    </row>
    <row r="5" spans="1:14" s="27" customFormat="1" ht="12" customHeight="1" x14ac:dyDescent="0.3">
      <c r="A5" s="28"/>
      <c r="B5" s="7"/>
      <c r="C5" s="5"/>
      <c r="D5" s="5"/>
      <c r="E5" s="5"/>
      <c r="F5" s="5"/>
      <c r="G5" s="8"/>
      <c r="H5" s="9" t="s">
        <v>83</v>
      </c>
      <c r="I5" s="108"/>
      <c r="J5" s="5"/>
      <c r="K5" s="5"/>
      <c r="L5" s="5"/>
      <c r="M5" s="5"/>
      <c r="N5" s="5"/>
    </row>
    <row r="6" spans="1:14" s="27" customFormat="1" ht="4.05" customHeight="1" x14ac:dyDescent="0.3">
      <c r="A6" s="25"/>
      <c r="B6" s="12"/>
      <c r="C6" s="10"/>
      <c r="D6" s="10"/>
      <c r="E6" s="10"/>
      <c r="F6" s="10"/>
      <c r="G6" s="13"/>
      <c r="H6" s="11"/>
      <c r="I6" s="109"/>
      <c r="J6" s="10"/>
      <c r="K6" s="10"/>
      <c r="L6" s="10"/>
      <c r="M6" s="10"/>
      <c r="N6" s="10"/>
    </row>
    <row r="7" spans="1:14" s="27" customFormat="1" ht="4.05" customHeight="1" x14ac:dyDescent="0.3">
      <c r="A7" s="25"/>
      <c r="B7" s="137" t="s">
        <v>75</v>
      </c>
      <c r="C7" s="138"/>
      <c r="D7" s="139"/>
      <c r="E7" s="137" t="s">
        <v>74</v>
      </c>
      <c r="F7" s="138"/>
      <c r="G7" s="138"/>
      <c r="H7" s="146" t="s">
        <v>77</v>
      </c>
      <c r="I7" s="137" t="s">
        <v>75</v>
      </c>
      <c r="J7" s="138"/>
      <c r="K7" s="139"/>
      <c r="L7" s="137" t="s">
        <v>74</v>
      </c>
      <c r="M7" s="138"/>
      <c r="N7" s="138"/>
    </row>
    <row r="8" spans="1:14" s="30" customFormat="1" ht="24.75" customHeight="1" x14ac:dyDescent="0.35">
      <c r="A8" s="29"/>
      <c r="B8" s="140"/>
      <c r="C8" s="141"/>
      <c r="D8" s="142"/>
      <c r="E8" s="140"/>
      <c r="F8" s="141"/>
      <c r="G8" s="141"/>
      <c r="H8" s="135"/>
      <c r="I8" s="140"/>
      <c r="J8" s="141"/>
      <c r="K8" s="142"/>
      <c r="L8" s="140"/>
      <c r="M8" s="141"/>
      <c r="N8" s="141"/>
    </row>
    <row r="9" spans="1:14" s="27" customFormat="1" ht="4.05" customHeight="1" x14ac:dyDescent="0.3">
      <c r="A9" s="25"/>
      <c r="B9" s="143"/>
      <c r="C9" s="144"/>
      <c r="D9" s="145"/>
      <c r="E9" s="143"/>
      <c r="F9" s="144"/>
      <c r="G9" s="144"/>
      <c r="H9" s="135"/>
      <c r="I9" s="143"/>
      <c r="J9" s="144"/>
      <c r="K9" s="145"/>
      <c r="L9" s="143"/>
      <c r="M9" s="144"/>
      <c r="N9" s="144"/>
    </row>
    <row r="10" spans="1:14" s="27" customFormat="1" ht="4.05" customHeight="1" x14ac:dyDescent="0.3">
      <c r="A10" s="25"/>
      <c r="B10" s="14"/>
      <c r="C10" s="14"/>
      <c r="D10" s="14"/>
      <c r="E10" s="14"/>
      <c r="F10" s="14"/>
      <c r="G10" s="14"/>
      <c r="H10" s="135"/>
      <c r="I10" s="110"/>
      <c r="J10" s="14"/>
      <c r="K10" s="14"/>
      <c r="L10" s="14"/>
      <c r="M10" s="14"/>
      <c r="N10" s="26"/>
    </row>
    <row r="11" spans="1:14" s="27" customFormat="1" ht="12" customHeight="1" x14ac:dyDescent="0.3">
      <c r="A11" s="28" t="s">
        <v>0</v>
      </c>
      <c r="B11" s="16" t="s">
        <v>5</v>
      </c>
      <c r="C11" s="15" t="s">
        <v>3</v>
      </c>
      <c r="D11" s="15" t="s">
        <v>4</v>
      </c>
      <c r="E11" s="16" t="s">
        <v>5</v>
      </c>
      <c r="F11" s="15" t="s">
        <v>3</v>
      </c>
      <c r="G11" s="15" t="s">
        <v>4</v>
      </c>
      <c r="H11" s="135"/>
      <c r="I11" s="111" t="s">
        <v>5</v>
      </c>
      <c r="J11" s="15" t="s">
        <v>3</v>
      </c>
      <c r="K11" s="15" t="s">
        <v>4</v>
      </c>
      <c r="L11" s="16" t="s">
        <v>5</v>
      </c>
      <c r="M11" s="15" t="s">
        <v>3</v>
      </c>
      <c r="N11" s="26" t="s">
        <v>4</v>
      </c>
    </row>
    <row r="12" spans="1:14" s="27" customFormat="1" ht="4.05" customHeight="1" x14ac:dyDescent="0.3">
      <c r="A12" s="63"/>
      <c r="B12" s="17"/>
      <c r="C12" s="17"/>
      <c r="D12" s="17"/>
      <c r="E12" s="17"/>
      <c r="F12" s="17"/>
      <c r="G12" s="17"/>
      <c r="H12" s="136"/>
      <c r="I12" s="112"/>
      <c r="J12" s="17"/>
      <c r="K12" s="17"/>
      <c r="L12" s="17"/>
      <c r="M12" s="17"/>
      <c r="N12" s="10"/>
    </row>
    <row r="13" spans="1:14" s="27" customFormat="1" ht="4.5" customHeight="1" x14ac:dyDescent="0.3">
      <c r="A13" s="19"/>
      <c r="B13" s="31"/>
      <c r="C13" s="19"/>
      <c r="D13" s="19"/>
      <c r="E13" s="31"/>
      <c r="F13" s="31"/>
      <c r="G13" s="31"/>
      <c r="H13" s="31"/>
      <c r="I13" s="113"/>
      <c r="J13" s="19"/>
      <c r="K13" s="19"/>
      <c r="L13" s="31"/>
      <c r="M13" s="31"/>
      <c r="N13" s="31"/>
    </row>
    <row r="14" spans="1:14" s="37" customFormat="1" ht="14.25" customHeight="1" x14ac:dyDescent="0.35">
      <c r="A14" s="32" t="s">
        <v>7</v>
      </c>
      <c r="B14" s="33">
        <v>100</v>
      </c>
      <c r="C14" s="33">
        <v>100</v>
      </c>
      <c r="D14" s="33">
        <v>100</v>
      </c>
      <c r="E14" s="34"/>
      <c r="F14" s="35"/>
      <c r="G14" s="35"/>
      <c r="H14" s="36"/>
      <c r="I14" s="114">
        <v>100</v>
      </c>
      <c r="J14" s="33">
        <v>100</v>
      </c>
      <c r="K14" s="33">
        <v>100</v>
      </c>
      <c r="L14" s="34"/>
      <c r="M14" s="35"/>
      <c r="N14" s="35"/>
    </row>
    <row r="15" spans="1:14" s="37" customFormat="1" ht="14.25" customHeight="1" x14ac:dyDescent="0.3">
      <c r="A15" s="38" t="s">
        <v>72</v>
      </c>
      <c r="B15" s="39" t="s">
        <v>6</v>
      </c>
      <c r="C15" s="39" t="s">
        <v>6</v>
      </c>
      <c r="D15" s="39" t="s">
        <v>6</v>
      </c>
      <c r="E15" s="40" t="s">
        <v>84</v>
      </c>
      <c r="F15" s="41"/>
      <c r="G15" s="41"/>
      <c r="H15" s="42" t="s">
        <v>85</v>
      </c>
      <c r="I15" s="114" t="s">
        <v>6</v>
      </c>
      <c r="J15" s="39" t="s">
        <v>6</v>
      </c>
      <c r="K15" s="39" t="s">
        <v>6</v>
      </c>
      <c r="L15" s="43" t="s">
        <v>86</v>
      </c>
      <c r="M15" s="44"/>
      <c r="N15" s="44"/>
    </row>
    <row r="16" spans="1:14" s="37" customFormat="1" ht="14.25" customHeight="1" x14ac:dyDescent="0.35">
      <c r="A16" s="32" t="s">
        <v>71</v>
      </c>
      <c r="B16" s="33" t="s">
        <v>6</v>
      </c>
      <c r="C16" s="33" t="s">
        <v>6</v>
      </c>
      <c r="D16" s="33" t="s">
        <v>6</v>
      </c>
      <c r="E16" s="35"/>
      <c r="F16" s="35"/>
      <c r="G16" s="35"/>
      <c r="H16" s="35"/>
      <c r="I16" s="114" t="s">
        <v>6</v>
      </c>
      <c r="J16" s="33" t="s">
        <v>6</v>
      </c>
      <c r="K16" s="33" t="s">
        <v>6</v>
      </c>
      <c r="L16" s="35"/>
      <c r="M16" s="33"/>
      <c r="N16" s="33"/>
    </row>
    <row r="17" spans="1:14" s="37" customFormat="1" ht="14.25" customHeight="1" x14ac:dyDescent="0.35">
      <c r="A17" s="45" t="s">
        <v>73</v>
      </c>
      <c r="B17" s="46">
        <v>125</v>
      </c>
      <c r="C17" s="46">
        <v>125</v>
      </c>
      <c r="D17" s="46">
        <v>127</v>
      </c>
      <c r="E17" s="47"/>
      <c r="F17" s="48"/>
      <c r="G17" s="48"/>
      <c r="H17" s="49"/>
      <c r="I17" s="115">
        <v>87</v>
      </c>
      <c r="J17" s="46">
        <v>87</v>
      </c>
      <c r="K17" s="46">
        <v>88</v>
      </c>
      <c r="L17" s="47"/>
      <c r="M17" s="48"/>
      <c r="N17" s="48"/>
    </row>
    <row r="18" spans="1:14" s="37" customFormat="1" ht="14.25" customHeight="1" x14ac:dyDescent="0.35">
      <c r="A18" s="32" t="s">
        <v>8</v>
      </c>
      <c r="B18" s="50">
        <v>134</v>
      </c>
      <c r="C18" s="50">
        <v>133</v>
      </c>
      <c r="D18" s="50">
        <v>138</v>
      </c>
      <c r="E18" s="34">
        <v>7.1</v>
      </c>
      <c r="F18" s="34">
        <v>6.5</v>
      </c>
      <c r="G18" s="34">
        <v>8.6</v>
      </c>
      <c r="H18" s="36">
        <v>3.8</v>
      </c>
      <c r="I18" s="115">
        <v>90</v>
      </c>
      <c r="J18" s="50">
        <v>89</v>
      </c>
      <c r="K18" s="50">
        <v>92</v>
      </c>
      <c r="L18" s="34">
        <v>3.2</v>
      </c>
      <c r="M18" s="34">
        <v>2.7</v>
      </c>
      <c r="N18" s="34">
        <v>4.8</v>
      </c>
    </row>
    <row r="19" spans="1:14" s="37" customFormat="1" ht="14.25" customHeight="1" x14ac:dyDescent="0.35">
      <c r="A19" s="45" t="s">
        <v>9</v>
      </c>
      <c r="B19" s="46">
        <v>143</v>
      </c>
      <c r="C19" s="46">
        <v>140</v>
      </c>
      <c r="D19" s="46">
        <v>148</v>
      </c>
      <c r="E19" s="47">
        <v>6.3</v>
      </c>
      <c r="F19" s="47">
        <v>5.6</v>
      </c>
      <c r="G19" s="47">
        <v>7.7</v>
      </c>
      <c r="H19" s="49">
        <v>1.6</v>
      </c>
      <c r="I19" s="115">
        <v>94</v>
      </c>
      <c r="J19" s="46">
        <v>92</v>
      </c>
      <c r="K19" s="46">
        <v>98</v>
      </c>
      <c r="L19" s="47">
        <v>4.5999999999999996</v>
      </c>
      <c r="M19" s="47">
        <v>3.9</v>
      </c>
      <c r="N19" s="47">
        <v>6</v>
      </c>
    </row>
    <row r="20" spans="1:14" s="37" customFormat="1" ht="14.25" customHeight="1" x14ac:dyDescent="0.35">
      <c r="A20" s="32" t="s">
        <v>10</v>
      </c>
      <c r="B20" s="50">
        <v>153</v>
      </c>
      <c r="C20" s="50">
        <v>149</v>
      </c>
      <c r="D20" s="50">
        <v>163</v>
      </c>
      <c r="E20" s="34">
        <v>7.5</v>
      </c>
      <c r="F20" s="34">
        <v>6.1</v>
      </c>
      <c r="G20" s="34">
        <v>10.199999999999999</v>
      </c>
      <c r="H20" s="36">
        <v>0</v>
      </c>
      <c r="I20" s="115">
        <v>101</v>
      </c>
      <c r="J20" s="50">
        <v>98</v>
      </c>
      <c r="K20" s="50">
        <v>108</v>
      </c>
      <c r="L20" s="34">
        <v>7.4</v>
      </c>
      <c r="M20" s="34">
        <v>6</v>
      </c>
      <c r="N20" s="34">
        <v>10.1</v>
      </c>
    </row>
    <row r="21" spans="1:14" s="37" customFormat="1" ht="14.25" customHeight="1" x14ac:dyDescent="0.35">
      <c r="A21" s="45" t="s">
        <v>11</v>
      </c>
      <c r="B21" s="46">
        <v>169</v>
      </c>
      <c r="C21" s="46">
        <v>163</v>
      </c>
      <c r="D21" s="46">
        <v>182</v>
      </c>
      <c r="E21" s="47">
        <v>10.4</v>
      </c>
      <c r="F21" s="47">
        <v>9.6999999999999993</v>
      </c>
      <c r="G21" s="47">
        <v>11.6</v>
      </c>
      <c r="H21" s="49">
        <v>1.5</v>
      </c>
      <c r="I21" s="114">
        <v>110</v>
      </c>
      <c r="J21" s="46">
        <v>106</v>
      </c>
      <c r="K21" s="46">
        <v>118</v>
      </c>
      <c r="L21" s="47">
        <v>8.6999999999999993</v>
      </c>
      <c r="M21" s="47">
        <v>8</v>
      </c>
      <c r="N21" s="47">
        <v>9.8000000000000007</v>
      </c>
    </row>
    <row r="22" spans="1:14" s="37" customFormat="1" ht="14.25" customHeight="1" x14ac:dyDescent="0.35">
      <c r="A22" s="32" t="s">
        <v>12</v>
      </c>
      <c r="B22" s="50">
        <v>183</v>
      </c>
      <c r="C22" s="50">
        <v>175</v>
      </c>
      <c r="D22" s="50">
        <v>198</v>
      </c>
      <c r="E22" s="34">
        <v>8</v>
      </c>
      <c r="F22" s="34">
        <v>7.6</v>
      </c>
      <c r="G22" s="34">
        <v>8.6</v>
      </c>
      <c r="H22" s="36">
        <v>5.3</v>
      </c>
      <c r="I22" s="115">
        <v>113</v>
      </c>
      <c r="J22" s="50">
        <v>108</v>
      </c>
      <c r="K22" s="50">
        <v>122</v>
      </c>
      <c r="L22" s="34">
        <v>2.6</v>
      </c>
      <c r="M22" s="34">
        <v>2.2999999999999998</v>
      </c>
      <c r="N22" s="34">
        <v>3.2</v>
      </c>
    </row>
    <row r="23" spans="1:14" s="37" customFormat="1" ht="14.25" customHeight="1" x14ac:dyDescent="0.35">
      <c r="A23" s="45" t="s">
        <v>13</v>
      </c>
      <c r="B23" s="46">
        <v>193</v>
      </c>
      <c r="C23" s="46">
        <v>185</v>
      </c>
      <c r="D23" s="46">
        <v>210</v>
      </c>
      <c r="E23" s="47">
        <v>5.5</v>
      </c>
      <c r="F23" s="47">
        <v>5.3</v>
      </c>
      <c r="G23" s="47">
        <v>5.8</v>
      </c>
      <c r="H23" s="49">
        <v>0.2</v>
      </c>
      <c r="I23" s="114">
        <v>119</v>
      </c>
      <c r="J23" s="46">
        <v>114</v>
      </c>
      <c r="K23" s="46">
        <v>129</v>
      </c>
      <c r="L23" s="47">
        <v>5.3</v>
      </c>
      <c r="M23" s="47">
        <v>5.0999999999999996</v>
      </c>
      <c r="N23" s="47">
        <v>5.6</v>
      </c>
    </row>
    <row r="24" spans="1:14" s="37" customFormat="1" ht="14.25" customHeight="1" x14ac:dyDescent="0.35">
      <c r="A24" s="32" t="s">
        <v>14</v>
      </c>
      <c r="B24" s="50">
        <v>195</v>
      </c>
      <c r="C24" s="50">
        <v>187</v>
      </c>
      <c r="D24" s="50">
        <v>211</v>
      </c>
      <c r="E24" s="34">
        <v>1</v>
      </c>
      <c r="F24" s="34">
        <v>1.2</v>
      </c>
      <c r="G24" s="34">
        <v>0.7</v>
      </c>
      <c r="H24" s="36">
        <v>-0.9</v>
      </c>
      <c r="I24" s="115">
        <v>121</v>
      </c>
      <c r="J24" s="50">
        <v>116</v>
      </c>
      <c r="K24" s="50">
        <v>131</v>
      </c>
      <c r="L24" s="34">
        <v>1.9</v>
      </c>
      <c r="M24" s="34">
        <v>2</v>
      </c>
      <c r="N24" s="34">
        <v>1.6</v>
      </c>
    </row>
    <row r="25" spans="1:14" s="37" customFormat="1" ht="14.25" customHeight="1" x14ac:dyDescent="0.35">
      <c r="A25" s="45" t="s">
        <v>15</v>
      </c>
      <c r="B25" s="46">
        <v>197</v>
      </c>
      <c r="C25" s="46">
        <v>189</v>
      </c>
      <c r="D25" s="46">
        <v>213</v>
      </c>
      <c r="E25" s="47">
        <v>1.1000000000000001</v>
      </c>
      <c r="F25" s="47">
        <v>1.1000000000000001</v>
      </c>
      <c r="G25" s="47">
        <v>0.9</v>
      </c>
      <c r="H25" s="49">
        <v>-0.5</v>
      </c>
      <c r="I25" s="114">
        <v>123</v>
      </c>
      <c r="J25" s="46">
        <v>118</v>
      </c>
      <c r="K25" s="46">
        <v>132</v>
      </c>
      <c r="L25" s="47">
        <v>1.4</v>
      </c>
      <c r="M25" s="47">
        <v>1.5</v>
      </c>
      <c r="N25" s="47">
        <v>1.2</v>
      </c>
    </row>
    <row r="26" spans="1:14" s="37" customFormat="1" ht="14.25" customHeight="1" x14ac:dyDescent="0.35">
      <c r="A26" s="32" t="s">
        <v>16</v>
      </c>
      <c r="B26" s="50">
        <v>206</v>
      </c>
      <c r="C26" s="50">
        <v>197</v>
      </c>
      <c r="D26" s="50">
        <v>222</v>
      </c>
      <c r="E26" s="34">
        <v>4.4000000000000004</v>
      </c>
      <c r="F26" s="34">
        <v>4.4000000000000004</v>
      </c>
      <c r="G26" s="34">
        <v>4.4000000000000004</v>
      </c>
      <c r="H26" s="36">
        <v>5.7</v>
      </c>
      <c r="I26" s="115">
        <v>121</v>
      </c>
      <c r="J26" s="50">
        <v>116</v>
      </c>
      <c r="K26" s="50">
        <v>131</v>
      </c>
      <c r="L26" s="34">
        <v>-1.2</v>
      </c>
      <c r="M26" s="34">
        <v>-1.2</v>
      </c>
      <c r="N26" s="34">
        <v>-1.2</v>
      </c>
    </row>
    <row r="27" spans="1:14" s="37" customFormat="1" ht="14.25" customHeight="1" x14ac:dyDescent="0.35">
      <c r="A27" s="45" t="s">
        <v>17</v>
      </c>
      <c r="B27" s="46">
        <v>212</v>
      </c>
      <c r="C27" s="46">
        <v>204</v>
      </c>
      <c r="D27" s="46">
        <v>229</v>
      </c>
      <c r="E27" s="47">
        <v>2.9</v>
      </c>
      <c r="F27" s="47">
        <v>3.1</v>
      </c>
      <c r="G27" s="47">
        <v>2.8</v>
      </c>
      <c r="H27" s="49">
        <v>0.7</v>
      </c>
      <c r="I27" s="114">
        <v>124</v>
      </c>
      <c r="J27" s="46">
        <v>119</v>
      </c>
      <c r="K27" s="46">
        <v>134</v>
      </c>
      <c r="L27" s="47">
        <v>2.2000000000000002</v>
      </c>
      <c r="M27" s="47">
        <v>2.2999999999999998</v>
      </c>
      <c r="N27" s="47">
        <v>2</v>
      </c>
    </row>
    <row r="28" spans="1:14" s="37" customFormat="1" ht="14.25" customHeight="1" x14ac:dyDescent="0.35">
      <c r="A28" s="32" t="s">
        <v>18</v>
      </c>
      <c r="B28" s="50">
        <v>215</v>
      </c>
      <c r="C28" s="50">
        <v>206</v>
      </c>
      <c r="D28" s="50">
        <v>232</v>
      </c>
      <c r="E28" s="34">
        <v>1.4</v>
      </c>
      <c r="F28" s="34">
        <v>1.2</v>
      </c>
      <c r="G28" s="34">
        <v>1.6</v>
      </c>
      <c r="H28" s="36">
        <v>-0.3</v>
      </c>
      <c r="I28" s="115">
        <v>126</v>
      </c>
      <c r="J28" s="50">
        <v>121</v>
      </c>
      <c r="K28" s="50">
        <v>136</v>
      </c>
      <c r="L28" s="34">
        <v>1.8</v>
      </c>
      <c r="M28" s="34">
        <v>1.7</v>
      </c>
      <c r="N28" s="34">
        <v>2.1</v>
      </c>
    </row>
    <row r="29" spans="1:14" s="37" customFormat="1" ht="14.25" customHeight="1" x14ac:dyDescent="0.35">
      <c r="A29" s="45" t="s">
        <v>19</v>
      </c>
      <c r="B29" s="46">
        <v>218</v>
      </c>
      <c r="C29" s="46">
        <v>210</v>
      </c>
      <c r="D29" s="46">
        <v>235</v>
      </c>
      <c r="E29" s="47">
        <v>1.6</v>
      </c>
      <c r="F29" s="47">
        <v>1.9</v>
      </c>
      <c r="G29" s="47">
        <v>1.1000000000000001</v>
      </c>
      <c r="H29" s="49">
        <v>1.1000000000000001</v>
      </c>
      <c r="I29" s="114">
        <v>126</v>
      </c>
      <c r="J29" s="46">
        <v>122</v>
      </c>
      <c r="K29" s="46">
        <v>136</v>
      </c>
      <c r="L29" s="47">
        <v>0.4</v>
      </c>
      <c r="M29" s="47">
        <v>0.7</v>
      </c>
      <c r="N29" s="47">
        <v>-0.2</v>
      </c>
    </row>
    <row r="30" spans="1:14" s="37" customFormat="1" ht="14.25" customHeight="1" x14ac:dyDescent="0.35">
      <c r="A30" s="32" t="s">
        <v>20</v>
      </c>
      <c r="B30" s="50">
        <v>224</v>
      </c>
      <c r="C30" s="50">
        <v>216</v>
      </c>
      <c r="D30" s="50">
        <v>240</v>
      </c>
      <c r="E30" s="34">
        <v>2.8</v>
      </c>
      <c r="F30" s="34">
        <v>3.1</v>
      </c>
      <c r="G30" s="34">
        <v>2.2999999999999998</v>
      </c>
      <c r="H30" s="36">
        <v>0.7</v>
      </c>
      <c r="I30" s="115">
        <v>129</v>
      </c>
      <c r="J30" s="50">
        <v>125</v>
      </c>
      <c r="K30" s="50">
        <v>139</v>
      </c>
      <c r="L30" s="34">
        <v>2.2999999999999998</v>
      </c>
      <c r="M30" s="34">
        <v>2.6</v>
      </c>
      <c r="N30" s="34">
        <v>1.8</v>
      </c>
    </row>
    <row r="31" spans="1:14" s="37" customFormat="1" ht="14.25" customHeight="1" x14ac:dyDescent="0.35">
      <c r="A31" s="45" t="s">
        <v>21</v>
      </c>
      <c r="B31" s="46">
        <v>233</v>
      </c>
      <c r="C31" s="46">
        <v>225</v>
      </c>
      <c r="D31" s="46">
        <v>251</v>
      </c>
      <c r="E31" s="47">
        <v>4.2</v>
      </c>
      <c r="F31" s="47">
        <v>4.0999999999999996</v>
      </c>
      <c r="G31" s="47">
        <v>4.3</v>
      </c>
      <c r="H31" s="49">
        <v>1.9</v>
      </c>
      <c r="I31" s="114">
        <v>132</v>
      </c>
      <c r="J31" s="46">
        <v>128</v>
      </c>
      <c r="K31" s="46">
        <v>142</v>
      </c>
      <c r="L31" s="47">
        <v>2.2999999999999998</v>
      </c>
      <c r="M31" s="47">
        <v>2.2000000000000002</v>
      </c>
      <c r="N31" s="47">
        <v>2.5</v>
      </c>
    </row>
    <row r="32" spans="1:14" s="37" customFormat="1" ht="14.25" customHeight="1" x14ac:dyDescent="0.35">
      <c r="A32" s="32" t="s">
        <v>22</v>
      </c>
      <c r="B32" s="50">
        <v>244</v>
      </c>
      <c r="C32" s="50">
        <v>235</v>
      </c>
      <c r="D32" s="50">
        <v>262</v>
      </c>
      <c r="E32" s="34">
        <v>4.4000000000000004</v>
      </c>
      <c r="F32" s="34">
        <v>4.3</v>
      </c>
      <c r="G32" s="34">
        <v>4.5</v>
      </c>
      <c r="H32" s="36">
        <v>2.2000000000000002</v>
      </c>
      <c r="I32" s="115">
        <v>135</v>
      </c>
      <c r="J32" s="50">
        <v>130</v>
      </c>
      <c r="K32" s="50">
        <v>145</v>
      </c>
      <c r="L32" s="34">
        <v>2.2000000000000002</v>
      </c>
      <c r="M32" s="34">
        <v>2.1</v>
      </c>
      <c r="N32" s="34">
        <v>2.2999999999999998</v>
      </c>
    </row>
    <row r="33" spans="1:14" s="37" customFormat="1" ht="14.25" customHeight="1" x14ac:dyDescent="0.35">
      <c r="A33" s="45" t="s">
        <v>23</v>
      </c>
      <c r="B33" s="46">
        <v>252</v>
      </c>
      <c r="C33" s="46">
        <v>245</v>
      </c>
      <c r="D33" s="46">
        <v>269</v>
      </c>
      <c r="E33" s="47">
        <v>3.6</v>
      </c>
      <c r="F33" s="47">
        <v>4.0999999999999996</v>
      </c>
      <c r="G33" s="47">
        <v>2.8</v>
      </c>
      <c r="H33" s="49">
        <v>1.3</v>
      </c>
      <c r="I33" s="115">
        <v>138</v>
      </c>
      <c r="J33" s="46">
        <v>134</v>
      </c>
      <c r="K33" s="46">
        <v>147</v>
      </c>
      <c r="L33" s="47">
        <v>2.2999999999999998</v>
      </c>
      <c r="M33" s="47">
        <v>2.8</v>
      </c>
      <c r="N33" s="47">
        <v>1.5</v>
      </c>
    </row>
    <row r="34" spans="1:14" s="37" customFormat="1" ht="14.25" customHeight="1" x14ac:dyDescent="0.35">
      <c r="A34" s="32" t="s">
        <v>24</v>
      </c>
      <c r="B34" s="50">
        <v>260</v>
      </c>
      <c r="C34" s="50">
        <v>251</v>
      </c>
      <c r="D34" s="50">
        <v>277</v>
      </c>
      <c r="E34" s="34">
        <v>2.8</v>
      </c>
      <c r="F34" s="34">
        <v>2.8</v>
      </c>
      <c r="G34" s="34">
        <v>2.9</v>
      </c>
      <c r="H34" s="36">
        <v>-0.8</v>
      </c>
      <c r="I34" s="115">
        <v>143</v>
      </c>
      <c r="J34" s="50">
        <v>139</v>
      </c>
      <c r="K34" s="50">
        <v>153</v>
      </c>
      <c r="L34" s="34">
        <v>3.6</v>
      </c>
      <c r="M34" s="34">
        <v>3.6</v>
      </c>
      <c r="N34" s="34">
        <v>3.7</v>
      </c>
    </row>
    <row r="35" spans="1:14" s="37" customFormat="1" ht="14.25" customHeight="1" x14ac:dyDescent="0.35">
      <c r="A35" s="45" t="s">
        <v>25</v>
      </c>
      <c r="B35" s="46">
        <v>272</v>
      </c>
      <c r="C35" s="46">
        <v>264</v>
      </c>
      <c r="D35" s="46">
        <v>291</v>
      </c>
      <c r="E35" s="47">
        <v>4.9000000000000004</v>
      </c>
      <c r="F35" s="47">
        <v>4.9000000000000004</v>
      </c>
      <c r="G35" s="47">
        <v>4.9000000000000004</v>
      </c>
      <c r="H35" s="49">
        <v>1.9</v>
      </c>
      <c r="I35" s="115">
        <v>147</v>
      </c>
      <c r="J35" s="46">
        <v>143</v>
      </c>
      <c r="K35" s="46">
        <v>157</v>
      </c>
      <c r="L35" s="47">
        <v>2.9</v>
      </c>
      <c r="M35" s="47">
        <v>2.9</v>
      </c>
      <c r="N35" s="47">
        <v>2.9</v>
      </c>
    </row>
    <row r="36" spans="1:14" s="37" customFormat="1" ht="14.25" customHeight="1" x14ac:dyDescent="0.35">
      <c r="A36" s="32" t="s">
        <v>26</v>
      </c>
      <c r="B36" s="50">
        <v>289</v>
      </c>
      <c r="C36" s="50">
        <v>280</v>
      </c>
      <c r="D36" s="50">
        <v>308</v>
      </c>
      <c r="E36" s="34">
        <v>6.2</v>
      </c>
      <c r="F36" s="34">
        <v>6.2</v>
      </c>
      <c r="G36" s="34">
        <v>6.1</v>
      </c>
      <c r="H36" s="36">
        <v>1.9</v>
      </c>
      <c r="I36" s="115">
        <v>153</v>
      </c>
      <c r="J36" s="50">
        <v>149</v>
      </c>
      <c r="K36" s="50">
        <v>164</v>
      </c>
      <c r="L36" s="34">
        <v>4.2</v>
      </c>
      <c r="M36" s="34">
        <v>4.2</v>
      </c>
      <c r="N36" s="34">
        <v>4.0999999999999996</v>
      </c>
    </row>
    <row r="37" spans="1:14" s="37" customFormat="1" ht="14.25" customHeight="1" x14ac:dyDescent="0.35">
      <c r="A37" s="45" t="s">
        <v>27</v>
      </c>
      <c r="B37" s="46">
        <v>310</v>
      </c>
      <c r="C37" s="46">
        <v>301</v>
      </c>
      <c r="D37" s="46">
        <v>328</v>
      </c>
      <c r="E37" s="47">
        <v>7.2</v>
      </c>
      <c r="F37" s="47">
        <v>7.6</v>
      </c>
      <c r="G37" s="47">
        <v>6.5</v>
      </c>
      <c r="H37" s="49">
        <v>4.0999999999999996</v>
      </c>
      <c r="I37" s="115">
        <v>158</v>
      </c>
      <c r="J37" s="46">
        <v>154</v>
      </c>
      <c r="K37" s="46">
        <v>167</v>
      </c>
      <c r="L37" s="47">
        <v>3</v>
      </c>
      <c r="M37" s="47">
        <v>3.4</v>
      </c>
      <c r="N37" s="47">
        <v>2.2999999999999998</v>
      </c>
    </row>
    <row r="38" spans="1:14" s="37" customFormat="1" ht="14.25" customHeight="1" x14ac:dyDescent="0.35">
      <c r="A38" s="32" t="s">
        <v>28</v>
      </c>
      <c r="B38" s="50">
        <v>332</v>
      </c>
      <c r="C38" s="50">
        <v>324</v>
      </c>
      <c r="D38" s="50">
        <v>352</v>
      </c>
      <c r="E38" s="34">
        <v>7.5</v>
      </c>
      <c r="F38" s="34">
        <v>7.5</v>
      </c>
      <c r="G38" s="34">
        <v>7.3</v>
      </c>
      <c r="H38" s="36">
        <v>3.8</v>
      </c>
      <c r="I38" s="115">
        <v>164</v>
      </c>
      <c r="J38" s="50">
        <v>159</v>
      </c>
      <c r="K38" s="50">
        <v>173</v>
      </c>
      <c r="L38" s="34">
        <v>3.6</v>
      </c>
      <c r="M38" s="34">
        <v>3.6</v>
      </c>
      <c r="N38" s="34">
        <v>3.4</v>
      </c>
    </row>
    <row r="39" spans="1:14" s="37" customFormat="1" ht="14.25" customHeight="1" x14ac:dyDescent="0.35">
      <c r="A39" s="45" t="s">
        <v>29</v>
      </c>
      <c r="B39" s="46">
        <v>358</v>
      </c>
      <c r="C39" s="46">
        <v>349</v>
      </c>
      <c r="D39" s="46">
        <v>378</v>
      </c>
      <c r="E39" s="47">
        <v>7.6</v>
      </c>
      <c r="F39" s="47">
        <v>7.8</v>
      </c>
      <c r="G39" s="47">
        <v>7.4</v>
      </c>
      <c r="H39" s="49">
        <v>2.8</v>
      </c>
      <c r="I39" s="115">
        <v>171</v>
      </c>
      <c r="J39" s="46">
        <v>167</v>
      </c>
      <c r="K39" s="46">
        <v>181</v>
      </c>
      <c r="L39" s="47">
        <v>4.7</v>
      </c>
      <c r="M39" s="47">
        <v>4.8</v>
      </c>
      <c r="N39" s="47">
        <v>4.5</v>
      </c>
    </row>
    <row r="40" spans="1:14" s="37" customFormat="1" ht="14.25" customHeight="1" x14ac:dyDescent="0.35">
      <c r="A40" s="32" t="s">
        <v>30</v>
      </c>
      <c r="B40" s="50">
        <v>384</v>
      </c>
      <c r="C40" s="50">
        <v>374</v>
      </c>
      <c r="D40" s="50">
        <v>406</v>
      </c>
      <c r="E40" s="34">
        <v>7.2</v>
      </c>
      <c r="F40" s="34">
        <v>7.1</v>
      </c>
      <c r="G40" s="34">
        <v>7.3</v>
      </c>
      <c r="H40" s="36">
        <v>4</v>
      </c>
      <c r="I40" s="115">
        <v>176</v>
      </c>
      <c r="J40" s="50">
        <v>172</v>
      </c>
      <c r="K40" s="50">
        <v>186</v>
      </c>
      <c r="L40" s="34">
        <v>3.1</v>
      </c>
      <c r="M40" s="34">
        <v>3</v>
      </c>
      <c r="N40" s="34">
        <v>3.2</v>
      </c>
    </row>
    <row r="41" spans="1:14" s="37" customFormat="1" ht="14.25" customHeight="1" x14ac:dyDescent="0.35">
      <c r="A41" s="45" t="s">
        <v>31</v>
      </c>
      <c r="B41" s="46">
        <v>412</v>
      </c>
      <c r="C41" s="46">
        <v>401</v>
      </c>
      <c r="D41" s="46">
        <v>438</v>
      </c>
      <c r="E41" s="47">
        <v>7.3</v>
      </c>
      <c r="F41" s="47">
        <v>7.2</v>
      </c>
      <c r="G41" s="47">
        <v>7.9</v>
      </c>
      <c r="H41" s="49">
        <v>4</v>
      </c>
      <c r="I41" s="115">
        <v>182</v>
      </c>
      <c r="J41" s="46">
        <v>177</v>
      </c>
      <c r="K41" s="46">
        <v>193</v>
      </c>
      <c r="L41" s="47">
        <v>3.2</v>
      </c>
      <c r="M41" s="47">
        <v>3</v>
      </c>
      <c r="N41" s="47">
        <v>3.8</v>
      </c>
    </row>
    <row r="42" spans="1:14" s="37" customFormat="1" ht="14.25" customHeight="1" x14ac:dyDescent="0.35">
      <c r="A42" s="32" t="s">
        <v>32</v>
      </c>
      <c r="B42" s="50">
        <v>439</v>
      </c>
      <c r="C42" s="50">
        <v>426</v>
      </c>
      <c r="D42" s="50">
        <v>467</v>
      </c>
      <c r="E42" s="34">
        <v>6.4</v>
      </c>
      <c r="F42" s="34">
        <v>6.4</v>
      </c>
      <c r="G42" s="34">
        <v>6.6</v>
      </c>
      <c r="H42" s="36">
        <v>4</v>
      </c>
      <c r="I42" s="115">
        <v>186</v>
      </c>
      <c r="J42" s="50">
        <v>181</v>
      </c>
      <c r="K42" s="50">
        <v>198</v>
      </c>
      <c r="L42" s="34">
        <v>2.2999999999999998</v>
      </c>
      <c r="M42" s="34">
        <v>2.2999999999999998</v>
      </c>
      <c r="N42" s="34">
        <v>2.5</v>
      </c>
    </row>
    <row r="43" spans="1:14" s="37" customFormat="1" ht="14.25" customHeight="1" x14ac:dyDescent="0.35">
      <c r="A43" s="45" t="s">
        <v>33</v>
      </c>
      <c r="B43" s="46">
        <v>460</v>
      </c>
      <c r="C43" s="46">
        <v>447</v>
      </c>
      <c r="D43" s="46">
        <v>490</v>
      </c>
      <c r="E43" s="47">
        <v>4.9000000000000004</v>
      </c>
      <c r="F43" s="47">
        <v>4.8</v>
      </c>
      <c r="G43" s="47">
        <v>5.0999999999999996</v>
      </c>
      <c r="H43" s="49">
        <v>2.2000000000000002</v>
      </c>
      <c r="I43" s="115">
        <v>191</v>
      </c>
      <c r="J43" s="46">
        <v>186</v>
      </c>
      <c r="K43" s="46">
        <v>204</v>
      </c>
      <c r="L43" s="47">
        <v>2.6</v>
      </c>
      <c r="M43" s="47">
        <v>2.5</v>
      </c>
      <c r="N43" s="47">
        <v>2.8</v>
      </c>
    </row>
    <row r="44" spans="1:14" s="37" customFormat="1" ht="14.25" customHeight="1" x14ac:dyDescent="0.35">
      <c r="A44" s="32" t="s">
        <v>34</v>
      </c>
      <c r="B44" s="50">
        <v>488</v>
      </c>
      <c r="C44" s="50">
        <v>467</v>
      </c>
      <c r="D44" s="50">
        <v>522</v>
      </c>
      <c r="E44" s="34">
        <v>6.1</v>
      </c>
      <c r="F44" s="34">
        <v>4.5999999999999996</v>
      </c>
      <c r="G44" s="34">
        <v>6.4</v>
      </c>
      <c r="H44" s="36">
        <v>2.2999999999999998</v>
      </c>
      <c r="I44" s="115">
        <v>198</v>
      </c>
      <c r="J44" s="50">
        <v>190</v>
      </c>
      <c r="K44" s="50">
        <v>212</v>
      </c>
      <c r="L44" s="34">
        <v>3.7</v>
      </c>
      <c r="M44" s="34">
        <v>2.2000000000000002</v>
      </c>
      <c r="N44" s="34">
        <v>4</v>
      </c>
    </row>
    <row r="45" spans="1:14" s="37" customFormat="1" ht="14.25" customHeight="1" x14ac:dyDescent="0.35">
      <c r="A45" s="45" t="s">
        <v>35</v>
      </c>
      <c r="B45" s="46">
        <v>534</v>
      </c>
      <c r="C45" s="46">
        <v>510</v>
      </c>
      <c r="D45" s="46">
        <v>576</v>
      </c>
      <c r="E45" s="47">
        <v>9.5</v>
      </c>
      <c r="F45" s="47">
        <v>9.1999999999999993</v>
      </c>
      <c r="G45" s="47">
        <v>10.4</v>
      </c>
      <c r="H45" s="49">
        <v>4.9000000000000004</v>
      </c>
      <c r="I45" s="115">
        <v>207</v>
      </c>
      <c r="J45" s="46">
        <v>198</v>
      </c>
      <c r="K45" s="46">
        <v>223</v>
      </c>
      <c r="L45" s="47">
        <v>4.4000000000000004</v>
      </c>
      <c r="M45" s="47">
        <v>4.2</v>
      </c>
      <c r="N45" s="47">
        <v>5.2</v>
      </c>
    </row>
    <row r="46" spans="1:14" s="37" customFormat="1" ht="14.25" customHeight="1" x14ac:dyDescent="0.35">
      <c r="A46" s="32" t="s">
        <v>36</v>
      </c>
      <c r="B46" s="50">
        <v>601</v>
      </c>
      <c r="C46" s="50">
        <v>574</v>
      </c>
      <c r="D46" s="50">
        <v>648</v>
      </c>
      <c r="E46" s="34">
        <v>12.4</v>
      </c>
      <c r="F46" s="34">
        <v>12.4</v>
      </c>
      <c r="G46" s="34">
        <v>12.6</v>
      </c>
      <c r="H46" s="36">
        <v>6.6</v>
      </c>
      <c r="I46" s="115">
        <v>218</v>
      </c>
      <c r="J46" s="50">
        <v>209</v>
      </c>
      <c r="K46" s="50">
        <v>236</v>
      </c>
      <c r="L46" s="34">
        <v>5.4</v>
      </c>
      <c r="M46" s="34">
        <v>5.5</v>
      </c>
      <c r="N46" s="34">
        <v>5.7</v>
      </c>
    </row>
    <row r="47" spans="1:14" s="37" customFormat="1" ht="14.25" customHeight="1" x14ac:dyDescent="0.35">
      <c r="A47" s="45" t="s">
        <v>37</v>
      </c>
      <c r="B47" s="46">
        <v>667</v>
      </c>
      <c r="C47" s="46">
        <v>637</v>
      </c>
      <c r="D47" s="46">
        <v>719</v>
      </c>
      <c r="E47" s="47">
        <v>11</v>
      </c>
      <c r="F47" s="47">
        <v>11.1</v>
      </c>
      <c r="G47" s="47">
        <v>11</v>
      </c>
      <c r="H47" s="49">
        <v>7.3</v>
      </c>
      <c r="I47" s="115">
        <v>226</v>
      </c>
      <c r="J47" s="46">
        <v>216</v>
      </c>
      <c r="K47" s="46">
        <v>244</v>
      </c>
      <c r="L47" s="47">
        <v>3.4</v>
      </c>
      <c r="M47" s="47">
        <v>3.5</v>
      </c>
      <c r="N47" s="47">
        <v>3.4</v>
      </c>
    </row>
    <row r="48" spans="1:14" s="37" customFormat="1" ht="14.25" customHeight="1" x14ac:dyDescent="0.35">
      <c r="A48" s="32" t="s">
        <v>38</v>
      </c>
      <c r="B48" s="50">
        <v>747</v>
      </c>
      <c r="C48" s="50">
        <v>713</v>
      </c>
      <c r="D48" s="50">
        <v>808</v>
      </c>
      <c r="E48" s="34">
        <v>12</v>
      </c>
      <c r="F48" s="34">
        <v>11.9</v>
      </c>
      <c r="G48" s="34">
        <v>12.4</v>
      </c>
      <c r="H48" s="36">
        <v>9.5</v>
      </c>
      <c r="I48" s="115">
        <v>231</v>
      </c>
      <c r="J48" s="50">
        <v>221</v>
      </c>
      <c r="K48" s="50">
        <v>250</v>
      </c>
      <c r="L48" s="34">
        <v>2.2999999999999998</v>
      </c>
      <c r="M48" s="34">
        <v>2.2000000000000002</v>
      </c>
      <c r="N48" s="34">
        <v>2.7</v>
      </c>
    </row>
    <row r="49" spans="1:172" s="37" customFormat="1" ht="14.25" customHeight="1" x14ac:dyDescent="0.35">
      <c r="A49" s="45" t="s">
        <v>39</v>
      </c>
      <c r="B49" s="46">
        <v>838</v>
      </c>
      <c r="C49" s="46">
        <v>800</v>
      </c>
      <c r="D49" s="46">
        <v>908</v>
      </c>
      <c r="E49" s="47">
        <v>12.2</v>
      </c>
      <c r="F49" s="47">
        <v>12.1</v>
      </c>
      <c r="G49" s="47">
        <v>12.4</v>
      </c>
      <c r="H49" s="49">
        <v>9.8000000000000007</v>
      </c>
      <c r="I49" s="115">
        <v>236</v>
      </c>
      <c r="J49" s="46">
        <v>225</v>
      </c>
      <c r="K49" s="46">
        <v>256</v>
      </c>
      <c r="L49" s="51">
        <v>2.2000000000000002</v>
      </c>
      <c r="M49" s="47">
        <v>2.2000000000000002</v>
      </c>
      <c r="N49" s="47">
        <v>2.4</v>
      </c>
    </row>
    <row r="50" spans="1:172" s="37" customFormat="1" ht="14.25" customHeight="1" x14ac:dyDescent="0.35">
      <c r="A50" s="32" t="s">
        <v>40</v>
      </c>
      <c r="B50" s="50">
        <v>901</v>
      </c>
      <c r="C50" s="50">
        <v>859</v>
      </c>
      <c r="D50" s="50">
        <v>976</v>
      </c>
      <c r="E50" s="34">
        <v>7.4</v>
      </c>
      <c r="F50" s="34">
        <v>7.4</v>
      </c>
      <c r="G50" s="34">
        <v>7.5</v>
      </c>
      <c r="H50" s="36">
        <v>4.8</v>
      </c>
      <c r="I50" s="115">
        <v>242</v>
      </c>
      <c r="J50" s="50">
        <v>231</v>
      </c>
      <c r="K50" s="50">
        <v>262</v>
      </c>
      <c r="L50" s="52">
        <v>2.5</v>
      </c>
      <c r="M50" s="34">
        <v>2.4</v>
      </c>
      <c r="N50" s="34">
        <v>2.5</v>
      </c>
    </row>
    <row r="51" spans="1:172" s="37" customFormat="1" ht="6" customHeight="1" x14ac:dyDescent="0.3">
      <c r="A51" s="64"/>
      <c r="B51" s="65"/>
      <c r="C51" s="65"/>
      <c r="D51" s="65"/>
      <c r="E51" s="65"/>
      <c r="F51" s="65"/>
      <c r="G51" s="65"/>
      <c r="H51" s="65"/>
      <c r="I51" s="116"/>
      <c r="J51" s="65"/>
      <c r="K51" s="65"/>
      <c r="L51" s="65"/>
      <c r="M51" s="65"/>
      <c r="N51" s="65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  <c r="BE51" s="53"/>
      <c r="BF51" s="53"/>
      <c r="BG51" s="53"/>
      <c r="BH51" s="53"/>
      <c r="BI51" s="53"/>
      <c r="BJ51" s="53"/>
      <c r="BK51" s="53"/>
      <c r="BL51" s="53"/>
      <c r="BM51" s="53"/>
      <c r="BN51" s="53"/>
      <c r="BO51" s="53"/>
      <c r="BP51" s="53"/>
      <c r="BQ51" s="53"/>
      <c r="BR51" s="53"/>
      <c r="BS51" s="53"/>
      <c r="BT51" s="53"/>
      <c r="BU51" s="53"/>
      <c r="BV51" s="53"/>
      <c r="BW51" s="53"/>
      <c r="BX51" s="53"/>
      <c r="BY51" s="53"/>
      <c r="BZ51" s="53"/>
      <c r="CA51" s="53"/>
      <c r="CB51" s="53"/>
      <c r="CC51" s="53"/>
      <c r="CD51" s="53"/>
      <c r="CE51" s="53"/>
      <c r="CF51" s="53"/>
      <c r="CG51" s="53"/>
      <c r="CH51" s="53"/>
      <c r="CI51" s="53"/>
      <c r="CJ51" s="53"/>
      <c r="CK51" s="53"/>
      <c r="CL51" s="53"/>
      <c r="CM51" s="53"/>
      <c r="CN51" s="53"/>
      <c r="CO51" s="53"/>
      <c r="CP51" s="53"/>
      <c r="CQ51" s="53"/>
      <c r="CR51" s="53"/>
      <c r="CS51" s="53"/>
      <c r="CT51" s="53"/>
      <c r="CU51" s="53"/>
      <c r="CV51" s="53"/>
      <c r="CW51" s="53"/>
      <c r="CX51" s="53"/>
      <c r="CY51" s="53"/>
      <c r="CZ51" s="53"/>
      <c r="DA51" s="53"/>
      <c r="DB51" s="53"/>
      <c r="DC51" s="53"/>
      <c r="DD51" s="53"/>
      <c r="DE51" s="53"/>
      <c r="DF51" s="53"/>
      <c r="DG51" s="53"/>
      <c r="DH51" s="53"/>
      <c r="DI51" s="53"/>
      <c r="DJ51" s="53"/>
      <c r="DK51" s="53"/>
      <c r="DL51" s="53"/>
      <c r="DM51" s="53"/>
      <c r="DN51" s="53"/>
      <c r="DO51" s="53"/>
      <c r="DP51" s="53"/>
      <c r="DQ51" s="53"/>
      <c r="DR51" s="53"/>
      <c r="DS51" s="53"/>
      <c r="DT51" s="53"/>
      <c r="DU51" s="53"/>
      <c r="DV51" s="53"/>
      <c r="DW51" s="53"/>
      <c r="DX51" s="53"/>
      <c r="DY51" s="53"/>
      <c r="DZ51" s="53"/>
      <c r="EA51" s="53"/>
      <c r="EB51" s="53"/>
      <c r="EC51" s="53"/>
      <c r="ED51" s="53"/>
      <c r="EE51" s="53"/>
      <c r="EF51" s="53"/>
      <c r="EG51" s="53"/>
      <c r="EH51" s="53"/>
      <c r="EI51" s="53"/>
      <c r="EJ51" s="53"/>
      <c r="EK51" s="53"/>
      <c r="EL51" s="53"/>
      <c r="EM51" s="53"/>
      <c r="EN51" s="53"/>
      <c r="EO51" s="53"/>
      <c r="EP51" s="53"/>
      <c r="EQ51" s="53"/>
      <c r="ER51" s="53"/>
      <c r="ES51" s="53"/>
      <c r="ET51" s="53"/>
      <c r="EU51" s="53"/>
      <c r="EV51" s="53"/>
      <c r="EW51" s="53"/>
      <c r="EX51" s="53"/>
      <c r="EY51" s="53"/>
      <c r="EZ51" s="53"/>
      <c r="FA51" s="53"/>
      <c r="FB51" s="53"/>
      <c r="FC51" s="53"/>
      <c r="FD51" s="53"/>
      <c r="FE51" s="53"/>
      <c r="FF51" s="53"/>
      <c r="FG51" s="53"/>
      <c r="FH51" s="53"/>
      <c r="FI51" s="53"/>
      <c r="FJ51" s="53"/>
      <c r="FK51" s="53"/>
      <c r="FL51" s="53"/>
      <c r="FM51" s="53"/>
      <c r="FN51" s="53"/>
      <c r="FO51" s="53"/>
      <c r="FP51" s="53"/>
    </row>
    <row r="52" spans="1:172" s="53" customFormat="1" ht="4.05" customHeight="1" x14ac:dyDescent="0.3">
      <c r="A52" s="54"/>
      <c r="B52" s="55"/>
      <c r="C52" s="55"/>
      <c r="D52" s="55"/>
      <c r="E52" s="55"/>
      <c r="F52" s="55"/>
      <c r="G52" s="55"/>
      <c r="H52" s="55"/>
      <c r="I52" s="117"/>
      <c r="J52" s="55"/>
      <c r="K52" s="55"/>
      <c r="L52" s="55"/>
      <c r="M52" s="55"/>
      <c r="N52" s="55"/>
    </row>
    <row r="53" spans="1:172" s="53" customFormat="1" x14ac:dyDescent="0.3">
      <c r="A53" s="18" t="s">
        <v>1</v>
      </c>
      <c r="B53" s="18"/>
      <c r="C53" s="18"/>
      <c r="D53" s="18"/>
      <c r="E53" s="18"/>
      <c r="F53" s="18"/>
      <c r="G53" s="18"/>
      <c r="H53" s="18"/>
      <c r="I53" s="118"/>
      <c r="J53" s="18"/>
      <c r="K53" s="18"/>
      <c r="L53" s="18"/>
      <c r="M53" s="18"/>
      <c r="N53" s="18"/>
    </row>
    <row r="54" spans="1:172" s="53" customFormat="1" x14ac:dyDescent="0.3">
      <c r="A54" s="18" t="s">
        <v>2</v>
      </c>
      <c r="B54" s="18"/>
      <c r="C54" s="18"/>
      <c r="D54" s="18"/>
      <c r="E54" s="18"/>
      <c r="F54" s="18"/>
      <c r="G54" s="18"/>
      <c r="H54" s="18"/>
      <c r="I54" s="118"/>
      <c r="J54" s="18"/>
      <c r="K54" s="18"/>
      <c r="L54" s="18"/>
      <c r="M54" s="18"/>
      <c r="N54" s="18"/>
    </row>
    <row r="55" spans="1:172" s="53" customFormat="1" x14ac:dyDescent="0.3">
      <c r="A55" s="54" t="s">
        <v>79</v>
      </c>
      <c r="B55" s="18"/>
      <c r="C55" s="18"/>
      <c r="D55" s="18"/>
      <c r="E55" s="18"/>
      <c r="F55" s="18"/>
      <c r="G55" s="18"/>
      <c r="H55" s="18"/>
      <c r="I55" s="118"/>
      <c r="J55" s="18"/>
      <c r="K55" s="18"/>
      <c r="L55" s="18"/>
      <c r="M55" s="18"/>
      <c r="N55" s="18"/>
    </row>
    <row r="56" spans="1:172" s="53" customFormat="1" x14ac:dyDescent="0.3">
      <c r="A56" s="54" t="s">
        <v>80</v>
      </c>
      <c r="B56" s="18"/>
      <c r="C56" s="18"/>
      <c r="D56" s="18"/>
      <c r="E56" s="18"/>
      <c r="F56" s="18"/>
      <c r="G56" s="18"/>
      <c r="H56" s="18"/>
      <c r="I56" s="118"/>
      <c r="J56" s="18"/>
      <c r="K56" s="18"/>
      <c r="L56" s="18"/>
      <c r="M56" s="18"/>
      <c r="N56" s="18"/>
    </row>
    <row r="57" spans="1:172" s="58" customFormat="1" x14ac:dyDescent="0.3">
      <c r="I57" s="119"/>
    </row>
    <row r="58" spans="1:172" s="58" customFormat="1" x14ac:dyDescent="0.3">
      <c r="A58" s="58" t="s">
        <v>87</v>
      </c>
      <c r="I58" s="119"/>
    </row>
    <row r="59" spans="1:172" x14ac:dyDescent="0.3">
      <c r="A59" s="67" t="s">
        <v>93</v>
      </c>
      <c r="B59" s="67"/>
      <c r="C59" s="67"/>
      <c r="D59" s="67"/>
      <c r="E59" s="67"/>
      <c r="F59" s="67"/>
      <c r="G59" s="67"/>
      <c r="H59" s="67"/>
      <c r="I59" s="120"/>
      <c r="J59" s="67"/>
      <c r="K59" s="57"/>
      <c r="L59" s="57"/>
      <c r="M59" s="57"/>
      <c r="N59" s="57"/>
    </row>
    <row r="60" spans="1:172" s="58" customFormat="1" x14ac:dyDescent="0.3">
      <c r="A60" s="67" t="s">
        <v>94</v>
      </c>
      <c r="B60" s="67"/>
      <c r="C60" s="67"/>
      <c r="D60" s="68"/>
      <c r="E60" s="67"/>
      <c r="F60" s="67"/>
      <c r="G60" s="67"/>
      <c r="H60" s="67"/>
      <c r="I60" s="120"/>
      <c r="J60" s="67"/>
    </row>
    <row r="61" spans="1:172" s="58" customFormat="1" x14ac:dyDescent="0.3">
      <c r="I61" s="119"/>
    </row>
    <row r="62" spans="1:172" s="58" customFormat="1" x14ac:dyDescent="0.3">
      <c r="I62" s="119"/>
    </row>
    <row r="63" spans="1:172" s="58" customFormat="1" x14ac:dyDescent="0.3">
      <c r="A63" s="59"/>
      <c r="I63" s="119"/>
    </row>
    <row r="64" spans="1:172" x14ac:dyDescent="0.3">
      <c r="A64" s="54"/>
      <c r="B64" s="54"/>
      <c r="C64" s="54"/>
      <c r="D64" s="54"/>
      <c r="E64" s="54"/>
      <c r="F64" s="54"/>
      <c r="G64" s="54"/>
      <c r="H64" s="54"/>
      <c r="I64" s="121"/>
      <c r="J64" s="54"/>
      <c r="K64" s="54"/>
      <c r="L64" s="54"/>
      <c r="M64" s="54"/>
      <c r="N64" s="54"/>
    </row>
    <row r="65" spans="1:14" x14ac:dyDescent="0.3">
      <c r="A65" s="54"/>
      <c r="B65" s="54"/>
      <c r="C65" s="54"/>
      <c r="D65" s="54"/>
      <c r="E65" s="54"/>
      <c r="F65" s="54"/>
      <c r="G65" s="54"/>
      <c r="H65" s="54"/>
      <c r="I65" s="121"/>
      <c r="J65" s="54"/>
      <c r="K65" s="54"/>
      <c r="L65" s="54"/>
      <c r="M65" s="54"/>
      <c r="N65" s="54"/>
    </row>
    <row r="66" spans="1:14" x14ac:dyDescent="0.3">
      <c r="A66" s="54"/>
      <c r="B66" s="54"/>
      <c r="C66" s="54"/>
      <c r="D66" s="54"/>
      <c r="E66" s="54"/>
      <c r="F66" s="54"/>
      <c r="G66" s="54"/>
      <c r="H66" s="54"/>
      <c r="I66" s="121"/>
      <c r="J66" s="54"/>
      <c r="K66" s="54"/>
      <c r="L66" s="54"/>
      <c r="M66" s="54"/>
      <c r="N66" s="54"/>
    </row>
    <row r="67" spans="1:14" x14ac:dyDescent="0.3">
      <c r="A67" s="54"/>
      <c r="B67" s="54"/>
      <c r="C67" s="54"/>
      <c r="D67" s="54"/>
      <c r="E67" s="54"/>
      <c r="F67" s="54"/>
      <c r="G67" s="54"/>
      <c r="H67" s="54"/>
      <c r="I67" s="121"/>
      <c r="J67" s="54"/>
      <c r="K67" s="54"/>
      <c r="L67" s="54"/>
      <c r="M67" s="54"/>
      <c r="N67" s="54"/>
    </row>
    <row r="68" spans="1:14" x14ac:dyDescent="0.3">
      <c r="A68" s="54"/>
      <c r="B68" s="54"/>
      <c r="C68" s="54"/>
      <c r="D68" s="54"/>
      <c r="E68" s="54"/>
      <c r="F68" s="54"/>
      <c r="G68" s="54"/>
      <c r="H68" s="54"/>
      <c r="I68" s="121"/>
      <c r="J68" s="54"/>
      <c r="K68" s="54"/>
      <c r="L68" s="54"/>
      <c r="M68" s="54"/>
      <c r="N68" s="54"/>
    </row>
    <row r="69" spans="1:14" x14ac:dyDescent="0.3">
      <c r="A69" s="54"/>
      <c r="B69" s="54"/>
      <c r="C69" s="54"/>
      <c r="D69" s="54"/>
      <c r="E69" s="54"/>
      <c r="F69" s="54"/>
      <c r="G69" s="54"/>
      <c r="H69" s="54"/>
      <c r="I69" s="121"/>
      <c r="J69" s="54"/>
      <c r="K69" s="54"/>
      <c r="L69" s="54"/>
      <c r="M69" s="54"/>
      <c r="N69" s="54"/>
    </row>
    <row r="70" spans="1:14" x14ac:dyDescent="0.3">
      <c r="A70" s="54"/>
      <c r="B70" s="54"/>
      <c r="C70" s="54"/>
      <c r="D70" s="54"/>
      <c r="E70" s="54"/>
      <c r="F70" s="54"/>
      <c r="G70" s="54"/>
      <c r="H70" s="54"/>
      <c r="I70" s="121"/>
      <c r="J70" s="54"/>
      <c r="K70" s="54"/>
      <c r="L70" s="54"/>
      <c r="M70" s="54"/>
      <c r="N70" s="54"/>
    </row>
    <row r="71" spans="1:14" x14ac:dyDescent="0.3">
      <c r="A71" s="54"/>
      <c r="B71" s="54"/>
      <c r="C71" s="54"/>
      <c r="D71" s="54"/>
      <c r="E71" s="54"/>
      <c r="F71" s="54"/>
      <c r="G71" s="54"/>
      <c r="H71" s="54"/>
      <c r="I71" s="121"/>
      <c r="J71" s="54"/>
      <c r="K71" s="54"/>
      <c r="L71" s="54"/>
      <c r="M71" s="54"/>
      <c r="N71" s="54"/>
    </row>
    <row r="72" spans="1:14" x14ac:dyDescent="0.3">
      <c r="A72" s="54"/>
      <c r="B72" s="54"/>
      <c r="C72" s="54"/>
      <c r="D72" s="54"/>
      <c r="E72" s="54"/>
      <c r="F72" s="54"/>
      <c r="G72" s="54"/>
      <c r="H72" s="54"/>
      <c r="I72" s="121"/>
      <c r="J72" s="54"/>
      <c r="K72" s="54"/>
      <c r="L72" s="54"/>
      <c r="M72" s="54"/>
      <c r="N72" s="54"/>
    </row>
    <row r="73" spans="1:14" x14ac:dyDescent="0.3">
      <c r="A73" s="54"/>
      <c r="B73" s="54"/>
      <c r="C73" s="54"/>
      <c r="D73" s="54"/>
      <c r="E73" s="54"/>
      <c r="F73" s="54"/>
      <c r="G73" s="54"/>
      <c r="H73" s="54"/>
      <c r="I73" s="121"/>
      <c r="J73" s="54"/>
      <c r="K73" s="54"/>
      <c r="L73" s="54"/>
      <c r="M73" s="54"/>
      <c r="N73" s="54"/>
    </row>
    <row r="74" spans="1:14" x14ac:dyDescent="0.3">
      <c r="A74" s="54"/>
      <c r="B74" s="54"/>
      <c r="C74" s="54"/>
      <c r="D74" s="54"/>
      <c r="E74" s="54"/>
      <c r="F74" s="54"/>
      <c r="G74" s="54"/>
      <c r="H74" s="54"/>
      <c r="I74" s="121"/>
      <c r="J74" s="54"/>
      <c r="K74" s="54"/>
      <c r="L74" s="54"/>
      <c r="M74" s="54"/>
      <c r="N74" s="54"/>
    </row>
    <row r="75" spans="1:14" x14ac:dyDescent="0.3">
      <c r="A75" s="54"/>
      <c r="B75" s="54"/>
      <c r="C75" s="54"/>
      <c r="D75" s="54"/>
      <c r="E75" s="54"/>
      <c r="F75" s="54"/>
      <c r="G75" s="54"/>
      <c r="H75" s="54"/>
      <c r="I75" s="121"/>
      <c r="J75" s="54"/>
      <c r="K75" s="54"/>
      <c r="L75" s="54"/>
      <c r="M75" s="54"/>
      <c r="N75" s="54"/>
    </row>
    <row r="76" spans="1:14" x14ac:dyDescent="0.3">
      <c r="A76" s="54"/>
      <c r="B76" s="54"/>
      <c r="C76" s="54"/>
      <c r="D76" s="54"/>
      <c r="E76" s="54"/>
      <c r="F76" s="54"/>
      <c r="G76" s="54"/>
      <c r="H76" s="54"/>
      <c r="I76" s="121"/>
      <c r="J76" s="54"/>
      <c r="K76" s="54"/>
      <c r="L76" s="54"/>
      <c r="M76" s="54"/>
      <c r="N76" s="54"/>
    </row>
    <row r="77" spans="1:14" x14ac:dyDescent="0.3">
      <c r="A77" s="54"/>
      <c r="B77" s="54"/>
      <c r="C77" s="54"/>
      <c r="D77" s="54"/>
      <c r="E77" s="54"/>
      <c r="F77" s="54"/>
      <c r="G77" s="54"/>
      <c r="H77" s="54"/>
      <c r="I77" s="121"/>
      <c r="J77" s="54"/>
      <c r="K77" s="54"/>
      <c r="L77" s="54"/>
      <c r="M77" s="54"/>
      <c r="N77" s="54"/>
    </row>
    <row r="78" spans="1:14" x14ac:dyDescent="0.3">
      <c r="A78" s="54"/>
      <c r="B78" s="54"/>
      <c r="C78" s="54"/>
      <c r="D78" s="54"/>
      <c r="E78" s="54"/>
      <c r="F78" s="54"/>
      <c r="G78" s="54"/>
      <c r="H78" s="54"/>
      <c r="I78" s="121"/>
      <c r="J78" s="54"/>
      <c r="K78" s="54"/>
      <c r="L78" s="54"/>
      <c r="M78" s="54"/>
      <c r="N78" s="54"/>
    </row>
    <row r="79" spans="1:14" x14ac:dyDescent="0.3">
      <c r="A79" s="54"/>
      <c r="B79" s="54"/>
      <c r="C79" s="54"/>
      <c r="D79" s="54"/>
      <c r="E79" s="54"/>
      <c r="F79" s="54"/>
      <c r="G79" s="54"/>
      <c r="H79" s="54"/>
      <c r="I79" s="121"/>
      <c r="J79" s="54"/>
      <c r="K79" s="54"/>
      <c r="L79" s="54"/>
      <c r="M79" s="54"/>
      <c r="N79" s="54"/>
    </row>
    <row r="80" spans="1:14" x14ac:dyDescent="0.3">
      <c r="A80" s="54"/>
      <c r="B80" s="54"/>
      <c r="C80" s="54"/>
      <c r="D80" s="54"/>
      <c r="E80" s="54"/>
      <c r="F80" s="54"/>
      <c r="G80" s="54"/>
      <c r="H80" s="54"/>
      <c r="I80" s="121"/>
      <c r="J80" s="54"/>
      <c r="K80" s="54"/>
      <c r="L80" s="54"/>
      <c r="M80" s="54"/>
      <c r="N80" s="54"/>
    </row>
    <row r="81" spans="1:14" x14ac:dyDescent="0.3">
      <c r="A81" s="54"/>
      <c r="B81" s="54"/>
      <c r="C81" s="54"/>
      <c r="D81" s="54"/>
      <c r="E81" s="54"/>
      <c r="F81" s="54"/>
      <c r="G81" s="54"/>
      <c r="H81" s="54"/>
      <c r="I81" s="121"/>
      <c r="J81" s="54"/>
      <c r="K81" s="54"/>
      <c r="L81" s="54"/>
      <c r="M81" s="54"/>
      <c r="N81" s="54"/>
    </row>
    <row r="82" spans="1:14" x14ac:dyDescent="0.3">
      <c r="A82" s="54"/>
      <c r="B82" s="54"/>
      <c r="C82" s="54"/>
      <c r="D82" s="54"/>
      <c r="E82" s="54"/>
      <c r="F82" s="54"/>
      <c r="G82" s="54"/>
      <c r="H82" s="54"/>
      <c r="I82" s="121"/>
      <c r="J82" s="54"/>
      <c r="K82" s="54"/>
      <c r="L82" s="54"/>
      <c r="M82" s="54"/>
      <c r="N82" s="54"/>
    </row>
    <row r="83" spans="1:14" x14ac:dyDescent="0.3">
      <c r="A83" s="54"/>
      <c r="B83" s="54"/>
      <c r="C83" s="54"/>
      <c r="D83" s="54"/>
      <c r="E83" s="54"/>
      <c r="F83" s="54"/>
      <c r="G83" s="54"/>
      <c r="H83" s="54"/>
      <c r="I83" s="121"/>
      <c r="J83" s="54"/>
      <c r="K83" s="54"/>
      <c r="L83" s="54"/>
      <c r="M83" s="54"/>
      <c r="N83" s="54"/>
    </row>
    <row r="84" spans="1:14" x14ac:dyDescent="0.3">
      <c r="A84" s="54"/>
      <c r="B84" s="54"/>
      <c r="C84" s="54"/>
      <c r="D84" s="54"/>
      <c r="E84" s="54"/>
      <c r="F84" s="54"/>
      <c r="G84" s="54"/>
      <c r="H84" s="54"/>
      <c r="I84" s="121"/>
      <c r="J84" s="54"/>
      <c r="K84" s="54"/>
      <c r="L84" s="54"/>
      <c r="M84" s="54"/>
      <c r="N84" s="54"/>
    </row>
    <row r="85" spans="1:14" x14ac:dyDescent="0.3">
      <c r="A85" s="54"/>
      <c r="B85" s="54"/>
      <c r="C85" s="54"/>
      <c r="D85" s="54"/>
      <c r="E85" s="54"/>
      <c r="F85" s="54"/>
      <c r="G85" s="54"/>
      <c r="H85" s="54"/>
      <c r="I85" s="121"/>
      <c r="J85" s="54"/>
      <c r="K85" s="54"/>
      <c r="L85" s="54"/>
      <c r="M85" s="54"/>
      <c r="N85" s="54"/>
    </row>
    <row r="86" spans="1:14" x14ac:dyDescent="0.3">
      <c r="A86" s="54"/>
      <c r="B86" s="54"/>
      <c r="C86" s="54"/>
      <c r="D86" s="54"/>
      <c r="E86" s="54"/>
      <c r="F86" s="54"/>
      <c r="G86" s="54"/>
      <c r="H86" s="54"/>
      <c r="I86" s="121"/>
      <c r="J86" s="54"/>
      <c r="K86" s="54"/>
      <c r="L86" s="54"/>
      <c r="M86" s="54"/>
      <c r="N86" s="54"/>
    </row>
    <row r="87" spans="1:14" x14ac:dyDescent="0.3">
      <c r="A87" s="54"/>
      <c r="B87" s="54"/>
      <c r="C87" s="54"/>
      <c r="D87" s="54"/>
      <c r="E87" s="54"/>
      <c r="F87" s="54"/>
      <c r="G87" s="54"/>
      <c r="H87" s="54"/>
      <c r="I87" s="121"/>
      <c r="J87" s="54"/>
      <c r="K87" s="54"/>
      <c r="L87" s="54"/>
      <c r="M87" s="54"/>
      <c r="N87" s="54"/>
    </row>
    <row r="88" spans="1:14" x14ac:dyDescent="0.3">
      <c r="A88" s="54"/>
      <c r="B88" s="54"/>
      <c r="C88" s="54"/>
      <c r="D88" s="54"/>
      <c r="E88" s="54"/>
      <c r="F88" s="54"/>
      <c r="G88" s="54"/>
      <c r="H88" s="54"/>
      <c r="I88" s="121"/>
      <c r="J88" s="54"/>
      <c r="K88" s="54"/>
      <c r="L88" s="54"/>
      <c r="M88" s="54"/>
      <c r="N88" s="54"/>
    </row>
    <row r="89" spans="1:14" x14ac:dyDescent="0.3">
      <c r="A89" s="54"/>
      <c r="B89" s="54"/>
      <c r="C89" s="54"/>
      <c r="D89" s="54"/>
      <c r="E89" s="54"/>
      <c r="F89" s="54"/>
      <c r="G89" s="54"/>
      <c r="H89" s="54"/>
      <c r="I89" s="121"/>
      <c r="J89" s="54"/>
      <c r="K89" s="54"/>
      <c r="L89" s="54"/>
      <c r="M89" s="54"/>
      <c r="N89" s="54"/>
    </row>
    <row r="90" spans="1:14" x14ac:dyDescent="0.3">
      <c r="A90" s="54"/>
      <c r="B90" s="54"/>
      <c r="C90" s="54"/>
      <c r="D90" s="54"/>
      <c r="E90" s="54"/>
      <c r="F90" s="54"/>
      <c r="G90" s="54"/>
      <c r="H90" s="54"/>
      <c r="I90" s="121"/>
      <c r="J90" s="54"/>
      <c r="K90" s="54"/>
      <c r="L90" s="54"/>
      <c r="M90" s="54"/>
      <c r="N90" s="54"/>
    </row>
    <row r="91" spans="1:14" x14ac:dyDescent="0.3">
      <c r="A91" s="54"/>
      <c r="B91" s="54"/>
      <c r="C91" s="54"/>
      <c r="D91" s="54"/>
      <c r="E91" s="54"/>
      <c r="F91" s="54"/>
      <c r="G91" s="54"/>
      <c r="H91" s="54"/>
      <c r="I91" s="121"/>
      <c r="J91" s="54"/>
      <c r="K91" s="54"/>
      <c r="L91" s="54"/>
      <c r="M91" s="54"/>
      <c r="N91" s="54"/>
    </row>
    <row r="92" spans="1:14" x14ac:dyDescent="0.3">
      <c r="A92" s="54"/>
      <c r="B92" s="54"/>
      <c r="C92" s="54"/>
      <c r="D92" s="54"/>
      <c r="E92" s="54"/>
      <c r="F92" s="54"/>
      <c r="G92" s="54"/>
      <c r="H92" s="54"/>
      <c r="I92" s="121"/>
      <c r="J92" s="54"/>
      <c r="K92" s="54"/>
      <c r="L92" s="54"/>
      <c r="M92" s="54"/>
      <c r="N92" s="54"/>
    </row>
    <row r="93" spans="1:14" x14ac:dyDescent="0.3">
      <c r="A93" s="54"/>
      <c r="B93" s="54"/>
      <c r="C93" s="54"/>
      <c r="D93" s="54"/>
      <c r="E93" s="54"/>
      <c r="F93" s="54"/>
      <c r="G93" s="54"/>
      <c r="H93" s="54"/>
      <c r="I93" s="121"/>
      <c r="J93" s="54"/>
      <c r="K93" s="54"/>
      <c r="L93" s="54"/>
      <c r="M93" s="54"/>
      <c r="N93" s="54"/>
    </row>
    <row r="94" spans="1:14" x14ac:dyDescent="0.3">
      <c r="A94" s="54"/>
      <c r="B94" s="54"/>
      <c r="C94" s="54"/>
      <c r="D94" s="54"/>
      <c r="E94" s="54"/>
      <c r="F94" s="54"/>
      <c r="G94" s="54"/>
      <c r="H94" s="54"/>
      <c r="I94" s="121"/>
      <c r="J94" s="54"/>
      <c r="K94" s="54"/>
      <c r="L94" s="54"/>
      <c r="M94" s="54"/>
      <c r="N94" s="54"/>
    </row>
    <row r="95" spans="1:14" x14ac:dyDescent="0.3">
      <c r="A95" s="54"/>
      <c r="B95" s="54"/>
      <c r="C95" s="54"/>
      <c r="D95" s="54"/>
      <c r="E95" s="54"/>
      <c r="F95" s="54"/>
      <c r="G95" s="54"/>
      <c r="H95" s="54"/>
      <c r="I95" s="121"/>
      <c r="J95" s="54"/>
      <c r="K95" s="54"/>
      <c r="L95" s="54"/>
      <c r="M95" s="54"/>
      <c r="N95" s="54"/>
    </row>
    <row r="96" spans="1:14" x14ac:dyDescent="0.3">
      <c r="A96" s="54"/>
      <c r="B96" s="54"/>
      <c r="C96" s="54"/>
      <c r="D96" s="54"/>
      <c r="E96" s="54"/>
      <c r="F96" s="54"/>
      <c r="G96" s="54"/>
      <c r="H96" s="54"/>
      <c r="I96" s="121"/>
      <c r="J96" s="54"/>
      <c r="K96" s="54"/>
      <c r="L96" s="54"/>
      <c r="M96" s="54"/>
      <c r="N96" s="54"/>
    </row>
    <row r="97" spans="1:14" x14ac:dyDescent="0.3">
      <c r="A97" s="54"/>
      <c r="B97" s="54"/>
      <c r="C97" s="54"/>
      <c r="D97" s="54"/>
      <c r="E97" s="54"/>
      <c r="F97" s="54"/>
      <c r="G97" s="54"/>
      <c r="H97" s="54"/>
      <c r="I97" s="121"/>
      <c r="J97" s="54"/>
      <c r="K97" s="54"/>
      <c r="L97" s="54"/>
      <c r="M97" s="54"/>
      <c r="N97" s="54"/>
    </row>
    <row r="98" spans="1:14" x14ac:dyDescent="0.3">
      <c r="A98" s="54"/>
      <c r="B98" s="54"/>
      <c r="C98" s="54"/>
      <c r="D98" s="54"/>
      <c r="E98" s="54"/>
      <c r="F98" s="54"/>
      <c r="G98" s="54"/>
      <c r="H98" s="54"/>
      <c r="I98" s="121"/>
      <c r="J98" s="54"/>
      <c r="K98" s="54"/>
      <c r="L98" s="54"/>
      <c r="M98" s="54"/>
      <c r="N98" s="54"/>
    </row>
    <row r="99" spans="1:14" x14ac:dyDescent="0.3">
      <c r="A99" s="54"/>
      <c r="B99" s="54"/>
      <c r="C99" s="54"/>
      <c r="D99" s="54"/>
      <c r="E99" s="54"/>
      <c r="F99" s="54"/>
      <c r="G99" s="54"/>
      <c r="H99" s="54"/>
      <c r="I99" s="121"/>
      <c r="J99" s="54"/>
      <c r="K99" s="54"/>
      <c r="L99" s="54"/>
      <c r="M99" s="54"/>
      <c r="N99" s="54"/>
    </row>
    <row r="100" spans="1:14" x14ac:dyDescent="0.3">
      <c r="A100" s="54"/>
      <c r="B100" s="54"/>
      <c r="C100" s="54"/>
      <c r="D100" s="54"/>
      <c r="E100" s="54"/>
      <c r="F100" s="54"/>
      <c r="G100" s="54"/>
      <c r="H100" s="54"/>
      <c r="I100" s="121"/>
      <c r="J100" s="54"/>
      <c r="K100" s="54"/>
      <c r="L100" s="54"/>
      <c r="M100" s="54"/>
      <c r="N100" s="54"/>
    </row>
    <row r="101" spans="1:14" x14ac:dyDescent="0.3">
      <c r="A101" s="54"/>
      <c r="B101" s="54"/>
      <c r="C101" s="54"/>
      <c r="D101" s="54"/>
      <c r="E101" s="54"/>
      <c r="F101" s="54"/>
      <c r="G101" s="54"/>
      <c r="H101" s="54"/>
      <c r="I101" s="121"/>
      <c r="J101" s="54"/>
      <c r="K101" s="54"/>
      <c r="L101" s="54"/>
      <c r="M101" s="54"/>
      <c r="N101" s="54"/>
    </row>
    <row r="102" spans="1:14" x14ac:dyDescent="0.3">
      <c r="A102" s="54"/>
      <c r="B102" s="54"/>
      <c r="C102" s="54"/>
      <c r="D102" s="54"/>
      <c r="E102" s="54"/>
      <c r="F102" s="54"/>
      <c r="G102" s="54"/>
      <c r="H102" s="54"/>
      <c r="I102" s="121"/>
      <c r="J102" s="54"/>
      <c r="K102" s="54"/>
      <c r="L102" s="54"/>
      <c r="M102" s="54"/>
      <c r="N102" s="54"/>
    </row>
    <row r="103" spans="1:14" x14ac:dyDescent="0.3">
      <c r="A103" s="54"/>
      <c r="B103" s="54"/>
      <c r="C103" s="54"/>
      <c r="D103" s="54"/>
      <c r="E103" s="54"/>
      <c r="F103" s="54"/>
      <c r="G103" s="54"/>
      <c r="H103" s="54"/>
      <c r="I103" s="121"/>
      <c r="J103" s="54"/>
      <c r="K103" s="54"/>
      <c r="L103" s="54"/>
      <c r="M103" s="54"/>
      <c r="N103" s="54"/>
    </row>
    <row r="104" spans="1:14" x14ac:dyDescent="0.3">
      <c r="A104" s="54"/>
      <c r="B104" s="54"/>
      <c r="C104" s="54"/>
      <c r="D104" s="54"/>
      <c r="E104" s="54"/>
      <c r="F104" s="54"/>
      <c r="G104" s="54"/>
      <c r="H104" s="54"/>
      <c r="I104" s="121"/>
      <c r="J104" s="54"/>
      <c r="K104" s="54"/>
      <c r="L104" s="54"/>
      <c r="M104" s="54"/>
      <c r="N104" s="54"/>
    </row>
    <row r="105" spans="1:14" x14ac:dyDescent="0.3">
      <c r="A105" s="54"/>
      <c r="B105" s="54"/>
      <c r="C105" s="54"/>
      <c r="D105" s="54"/>
      <c r="E105" s="54"/>
      <c r="F105" s="54"/>
      <c r="G105" s="54"/>
      <c r="H105" s="54"/>
      <c r="I105" s="121"/>
      <c r="J105" s="54"/>
      <c r="K105" s="54"/>
      <c r="L105" s="54"/>
      <c r="M105" s="54"/>
      <c r="N105" s="54"/>
    </row>
    <row r="106" spans="1:14" x14ac:dyDescent="0.3">
      <c r="A106" s="54"/>
      <c r="B106" s="54"/>
      <c r="C106" s="54"/>
      <c r="D106" s="54"/>
      <c r="E106" s="54"/>
      <c r="F106" s="54"/>
      <c r="G106" s="54"/>
      <c r="H106" s="54"/>
      <c r="I106" s="121"/>
      <c r="J106" s="54"/>
      <c r="K106" s="54"/>
      <c r="L106" s="54"/>
      <c r="M106" s="54"/>
      <c r="N106" s="54"/>
    </row>
    <row r="107" spans="1:14" x14ac:dyDescent="0.3">
      <c r="A107" s="54"/>
      <c r="B107" s="54"/>
      <c r="C107" s="54"/>
      <c r="D107" s="54"/>
      <c r="E107" s="54"/>
      <c r="F107" s="54"/>
      <c r="G107" s="54"/>
      <c r="H107" s="54"/>
      <c r="I107" s="121"/>
      <c r="J107" s="54"/>
      <c r="K107" s="54"/>
      <c r="L107" s="54"/>
      <c r="M107" s="54"/>
      <c r="N107" s="54"/>
    </row>
    <row r="108" spans="1:14" x14ac:dyDescent="0.3">
      <c r="A108" s="54"/>
      <c r="B108" s="54"/>
      <c r="C108" s="54"/>
      <c r="D108" s="54"/>
      <c r="E108" s="54"/>
      <c r="F108" s="54"/>
      <c r="G108" s="54"/>
      <c r="H108" s="54"/>
      <c r="I108" s="121"/>
      <c r="J108" s="54"/>
      <c r="K108" s="54"/>
      <c r="L108" s="54"/>
      <c r="M108" s="54"/>
      <c r="N108" s="54"/>
    </row>
    <row r="109" spans="1:14" x14ac:dyDescent="0.3">
      <c r="A109" s="54"/>
      <c r="B109" s="54"/>
      <c r="C109" s="54"/>
      <c r="D109" s="54"/>
      <c r="E109" s="54"/>
      <c r="F109" s="54"/>
      <c r="G109" s="54"/>
      <c r="H109" s="54"/>
      <c r="I109" s="121"/>
      <c r="J109" s="54"/>
      <c r="K109" s="54"/>
      <c r="L109" s="54"/>
      <c r="M109" s="54"/>
      <c r="N109" s="54"/>
    </row>
    <row r="110" spans="1:14" x14ac:dyDescent="0.3">
      <c r="A110" s="54"/>
      <c r="B110" s="54"/>
      <c r="C110" s="54"/>
      <c r="D110" s="54"/>
      <c r="E110" s="54"/>
      <c r="F110" s="54"/>
      <c r="G110" s="54"/>
      <c r="H110" s="54"/>
      <c r="I110" s="121"/>
      <c r="J110" s="54"/>
      <c r="K110" s="54"/>
      <c r="L110" s="54"/>
      <c r="M110" s="54"/>
      <c r="N110" s="54"/>
    </row>
    <row r="111" spans="1:14" x14ac:dyDescent="0.3">
      <c r="A111" s="54"/>
      <c r="B111" s="54"/>
      <c r="C111" s="54"/>
      <c r="D111" s="54"/>
      <c r="E111" s="54"/>
      <c r="F111" s="54"/>
      <c r="G111" s="54"/>
      <c r="H111" s="54"/>
      <c r="I111" s="121"/>
      <c r="J111" s="54"/>
      <c r="K111" s="54"/>
      <c r="L111" s="54"/>
      <c r="M111" s="54"/>
      <c r="N111" s="54"/>
    </row>
    <row r="112" spans="1:14" x14ac:dyDescent="0.3">
      <c r="A112" s="54"/>
      <c r="B112" s="54"/>
      <c r="C112" s="54"/>
      <c r="D112" s="54"/>
      <c r="E112" s="54"/>
      <c r="F112" s="54"/>
      <c r="G112" s="54"/>
      <c r="H112" s="54"/>
      <c r="I112" s="121"/>
      <c r="J112" s="54"/>
      <c r="K112" s="54"/>
      <c r="L112" s="54"/>
      <c r="M112" s="54"/>
      <c r="N112" s="54"/>
    </row>
    <row r="113" spans="1:14" x14ac:dyDescent="0.3">
      <c r="A113" s="54"/>
      <c r="B113" s="54"/>
      <c r="C113" s="54"/>
      <c r="D113" s="54"/>
      <c r="E113" s="54"/>
      <c r="F113" s="54"/>
      <c r="G113" s="54"/>
      <c r="H113" s="54"/>
      <c r="I113" s="121"/>
      <c r="J113" s="54"/>
      <c r="K113" s="54"/>
      <c r="L113" s="54"/>
      <c r="M113" s="54"/>
      <c r="N113" s="54"/>
    </row>
    <row r="114" spans="1:14" x14ac:dyDescent="0.3">
      <c r="A114" s="54"/>
      <c r="B114" s="54"/>
      <c r="C114" s="54"/>
      <c r="D114" s="54"/>
      <c r="E114" s="54"/>
      <c r="F114" s="54"/>
      <c r="G114" s="54"/>
      <c r="H114" s="54"/>
      <c r="I114" s="121"/>
      <c r="J114" s="54"/>
      <c r="K114" s="54"/>
      <c r="L114" s="54"/>
      <c r="M114" s="54"/>
      <c r="N114" s="54"/>
    </row>
    <row r="115" spans="1:14" x14ac:dyDescent="0.3">
      <c r="A115" s="54"/>
      <c r="B115" s="54"/>
      <c r="C115" s="54"/>
      <c r="D115" s="54"/>
      <c r="E115" s="54"/>
      <c r="F115" s="54"/>
      <c r="G115" s="54"/>
      <c r="H115" s="54"/>
      <c r="I115" s="121"/>
      <c r="J115" s="54"/>
      <c r="K115" s="54"/>
      <c r="L115" s="54"/>
      <c r="M115" s="54"/>
      <c r="N115" s="54"/>
    </row>
    <row r="116" spans="1:14" x14ac:dyDescent="0.3">
      <c r="A116" s="54"/>
      <c r="B116" s="54"/>
      <c r="C116" s="54"/>
      <c r="D116" s="54"/>
      <c r="E116" s="54"/>
      <c r="F116" s="54"/>
      <c r="G116" s="54"/>
      <c r="H116" s="54"/>
      <c r="I116" s="121"/>
      <c r="J116" s="54"/>
      <c r="K116" s="54"/>
      <c r="L116" s="54"/>
      <c r="M116" s="54"/>
      <c r="N116" s="54"/>
    </row>
    <row r="117" spans="1:14" x14ac:dyDescent="0.3">
      <c r="A117" s="54"/>
      <c r="B117" s="54"/>
      <c r="C117" s="54"/>
      <c r="D117" s="54"/>
      <c r="E117" s="54"/>
      <c r="F117" s="54"/>
      <c r="G117" s="54"/>
      <c r="H117" s="54"/>
      <c r="I117" s="121"/>
      <c r="J117" s="54"/>
      <c r="K117" s="54"/>
      <c r="L117" s="54"/>
      <c r="M117" s="54"/>
      <c r="N117" s="54"/>
    </row>
    <row r="118" spans="1:14" x14ac:dyDescent="0.3">
      <c r="A118" s="54"/>
      <c r="B118" s="54"/>
      <c r="C118" s="54"/>
      <c r="D118" s="54"/>
      <c r="E118" s="54"/>
      <c r="F118" s="54"/>
      <c r="G118" s="54"/>
      <c r="H118" s="54"/>
      <c r="I118" s="121"/>
      <c r="J118" s="54"/>
      <c r="K118" s="54"/>
      <c r="L118" s="54"/>
      <c r="M118" s="54"/>
      <c r="N118" s="54"/>
    </row>
    <row r="119" spans="1:14" x14ac:dyDescent="0.3">
      <c r="A119" s="54"/>
      <c r="B119" s="54"/>
      <c r="C119" s="54"/>
      <c r="D119" s="54"/>
      <c r="E119" s="54"/>
      <c r="F119" s="54"/>
      <c r="G119" s="54"/>
      <c r="H119" s="54"/>
      <c r="I119" s="121"/>
      <c r="J119" s="54"/>
      <c r="K119" s="54"/>
      <c r="L119" s="54"/>
      <c r="M119" s="54"/>
      <c r="N119" s="54"/>
    </row>
    <row r="120" spans="1:14" x14ac:dyDescent="0.3">
      <c r="A120" s="54"/>
      <c r="B120" s="54"/>
      <c r="C120" s="54"/>
      <c r="D120" s="54"/>
      <c r="E120" s="54"/>
      <c r="F120" s="54"/>
      <c r="G120" s="54"/>
      <c r="H120" s="54"/>
      <c r="I120" s="121"/>
      <c r="J120" s="54"/>
      <c r="K120" s="54"/>
      <c r="L120" s="54"/>
      <c r="M120" s="54"/>
      <c r="N120" s="54"/>
    </row>
    <row r="121" spans="1:14" x14ac:dyDescent="0.3">
      <c r="A121" s="54"/>
      <c r="B121" s="54"/>
      <c r="C121" s="54"/>
      <c r="D121" s="54"/>
      <c r="E121" s="54"/>
      <c r="F121" s="54"/>
      <c r="G121" s="54"/>
      <c r="H121" s="54"/>
      <c r="I121" s="121"/>
      <c r="J121" s="54"/>
      <c r="K121" s="54"/>
      <c r="L121" s="54"/>
      <c r="M121" s="54"/>
      <c r="N121" s="54"/>
    </row>
    <row r="122" spans="1:14" x14ac:dyDescent="0.3">
      <c r="A122" s="54"/>
      <c r="B122" s="54"/>
      <c r="C122" s="54"/>
      <c r="D122" s="54"/>
      <c r="E122" s="54"/>
      <c r="F122" s="54"/>
      <c r="G122" s="54"/>
      <c r="H122" s="54"/>
      <c r="I122" s="121"/>
      <c r="J122" s="54"/>
      <c r="K122" s="54"/>
      <c r="L122" s="54"/>
      <c r="M122" s="54"/>
      <c r="N122" s="54"/>
    </row>
    <row r="123" spans="1:14" x14ac:dyDescent="0.3">
      <c r="A123" s="54"/>
      <c r="B123" s="54"/>
      <c r="C123" s="54"/>
      <c r="D123" s="54"/>
      <c r="E123" s="54"/>
      <c r="F123" s="54"/>
      <c r="G123" s="54"/>
      <c r="H123" s="54"/>
      <c r="I123" s="121"/>
      <c r="J123" s="54"/>
      <c r="K123" s="54"/>
      <c r="L123" s="54"/>
      <c r="M123" s="54"/>
      <c r="N123" s="54"/>
    </row>
    <row r="124" spans="1:14" x14ac:dyDescent="0.3">
      <c r="A124" s="54"/>
      <c r="B124" s="54"/>
      <c r="C124" s="54"/>
      <c r="D124" s="54"/>
      <c r="E124" s="54"/>
      <c r="F124" s="54"/>
      <c r="G124" s="54"/>
      <c r="H124" s="54"/>
      <c r="I124" s="121"/>
      <c r="J124" s="54"/>
      <c r="K124" s="54"/>
      <c r="L124" s="54"/>
      <c r="M124" s="54"/>
      <c r="N124" s="54"/>
    </row>
    <row r="125" spans="1:14" x14ac:dyDescent="0.3">
      <c r="A125" s="54"/>
      <c r="B125" s="54"/>
      <c r="C125" s="54"/>
      <c r="D125" s="54"/>
      <c r="E125" s="54"/>
      <c r="F125" s="54"/>
      <c r="G125" s="54"/>
      <c r="H125" s="54"/>
      <c r="I125" s="121"/>
      <c r="J125" s="54"/>
      <c r="K125" s="54"/>
      <c r="L125" s="54"/>
      <c r="M125" s="54"/>
      <c r="N125" s="54"/>
    </row>
    <row r="126" spans="1:14" x14ac:dyDescent="0.3">
      <c r="A126" s="54"/>
      <c r="B126" s="54"/>
      <c r="C126" s="54"/>
      <c r="D126" s="54"/>
      <c r="E126" s="54"/>
      <c r="F126" s="54"/>
      <c r="G126" s="54"/>
      <c r="H126" s="54"/>
      <c r="I126" s="121"/>
      <c r="J126" s="54"/>
      <c r="K126" s="54"/>
      <c r="L126" s="54"/>
      <c r="M126" s="54"/>
      <c r="N126" s="54"/>
    </row>
    <row r="127" spans="1:14" x14ac:dyDescent="0.3">
      <c r="A127" s="54"/>
      <c r="B127" s="54"/>
      <c r="C127" s="54"/>
      <c r="D127" s="54"/>
      <c r="E127" s="54"/>
      <c r="F127" s="54"/>
      <c r="G127" s="54"/>
      <c r="H127" s="54"/>
      <c r="I127" s="121"/>
      <c r="J127" s="54"/>
      <c r="K127" s="54"/>
      <c r="L127" s="54"/>
      <c r="M127" s="54"/>
      <c r="N127" s="54"/>
    </row>
    <row r="128" spans="1:14" x14ac:dyDescent="0.3">
      <c r="A128" s="54"/>
      <c r="B128" s="54"/>
      <c r="C128" s="54"/>
      <c r="D128" s="54"/>
      <c r="E128" s="54"/>
      <c r="F128" s="54"/>
      <c r="G128" s="54"/>
      <c r="H128" s="54"/>
      <c r="I128" s="121"/>
      <c r="J128" s="54"/>
      <c r="K128" s="54"/>
      <c r="L128" s="54"/>
      <c r="M128" s="54"/>
      <c r="N128" s="54"/>
    </row>
    <row r="129" spans="1:14" x14ac:dyDescent="0.3">
      <c r="A129" s="54"/>
      <c r="B129" s="54"/>
      <c r="C129" s="54"/>
      <c r="D129" s="54"/>
      <c r="E129" s="54"/>
      <c r="F129" s="54"/>
      <c r="G129" s="54"/>
      <c r="H129" s="54"/>
      <c r="I129" s="121"/>
      <c r="J129" s="54"/>
      <c r="K129" s="54"/>
      <c r="L129" s="54"/>
      <c r="M129" s="54"/>
      <c r="N129" s="54"/>
    </row>
    <row r="130" spans="1:14" x14ac:dyDescent="0.3">
      <c r="A130" s="54"/>
      <c r="B130" s="54"/>
      <c r="C130" s="54"/>
      <c r="D130" s="54"/>
      <c r="E130" s="54"/>
      <c r="F130" s="54"/>
      <c r="G130" s="54"/>
      <c r="H130" s="54"/>
      <c r="I130" s="121"/>
      <c r="J130" s="54"/>
      <c r="K130" s="54"/>
      <c r="L130" s="54"/>
      <c r="M130" s="54"/>
      <c r="N130" s="54"/>
    </row>
    <row r="131" spans="1:14" x14ac:dyDescent="0.3">
      <c r="A131" s="54"/>
      <c r="B131" s="54"/>
      <c r="C131" s="54"/>
      <c r="D131" s="54"/>
      <c r="E131" s="54"/>
      <c r="F131" s="54"/>
      <c r="G131" s="54"/>
      <c r="H131" s="54"/>
      <c r="I131" s="121"/>
      <c r="J131" s="54"/>
      <c r="K131" s="54"/>
      <c r="L131" s="54"/>
      <c r="M131" s="54"/>
      <c r="N131" s="54"/>
    </row>
    <row r="132" spans="1:14" x14ac:dyDescent="0.3">
      <c r="A132" s="54"/>
      <c r="B132" s="54"/>
      <c r="C132" s="54"/>
      <c r="D132" s="54"/>
      <c r="E132" s="54"/>
      <c r="F132" s="54"/>
      <c r="G132" s="54"/>
      <c r="H132" s="54"/>
      <c r="I132" s="121"/>
      <c r="J132" s="54"/>
      <c r="K132" s="54"/>
      <c r="L132" s="54"/>
      <c r="M132" s="54"/>
      <c r="N132" s="54"/>
    </row>
    <row r="133" spans="1:14" x14ac:dyDescent="0.3">
      <c r="A133" s="54"/>
      <c r="B133" s="54"/>
      <c r="C133" s="54"/>
      <c r="D133" s="54"/>
      <c r="E133" s="54"/>
      <c r="F133" s="54"/>
      <c r="G133" s="54"/>
      <c r="H133" s="54"/>
      <c r="I133" s="121"/>
      <c r="J133" s="54"/>
      <c r="K133" s="54"/>
      <c r="L133" s="54"/>
      <c r="M133" s="54"/>
      <c r="N133" s="54"/>
    </row>
    <row r="134" spans="1:14" x14ac:dyDescent="0.3">
      <c r="A134" s="54"/>
      <c r="B134" s="54"/>
      <c r="C134" s="54"/>
      <c r="D134" s="54"/>
      <c r="E134" s="54"/>
      <c r="F134" s="54"/>
      <c r="G134" s="54"/>
      <c r="H134" s="54"/>
      <c r="I134" s="121"/>
      <c r="J134" s="54"/>
      <c r="K134" s="54"/>
      <c r="L134" s="54"/>
      <c r="M134" s="54"/>
      <c r="N134" s="54"/>
    </row>
    <row r="135" spans="1:14" x14ac:dyDescent="0.3">
      <c r="A135" s="54"/>
      <c r="B135" s="54"/>
      <c r="C135" s="54"/>
      <c r="D135" s="54"/>
      <c r="E135" s="54"/>
      <c r="F135" s="54"/>
      <c r="G135" s="54"/>
      <c r="H135" s="54"/>
      <c r="I135" s="121"/>
      <c r="J135" s="54"/>
      <c r="K135" s="54"/>
      <c r="L135" s="54"/>
      <c r="M135" s="54"/>
      <c r="N135" s="54"/>
    </row>
    <row r="136" spans="1:14" x14ac:dyDescent="0.3">
      <c r="A136" s="54"/>
      <c r="B136" s="54"/>
      <c r="C136" s="54"/>
      <c r="D136" s="54"/>
      <c r="E136" s="54"/>
      <c r="F136" s="54"/>
      <c r="G136" s="54"/>
      <c r="H136" s="54"/>
      <c r="I136" s="121"/>
      <c r="J136" s="54"/>
      <c r="K136" s="54"/>
      <c r="L136" s="54"/>
      <c r="M136" s="54"/>
      <c r="N136" s="54"/>
    </row>
    <row r="137" spans="1:14" x14ac:dyDescent="0.3">
      <c r="A137" s="54"/>
      <c r="B137" s="54"/>
      <c r="C137" s="54"/>
      <c r="D137" s="54"/>
      <c r="E137" s="54"/>
      <c r="F137" s="54"/>
      <c r="G137" s="54"/>
      <c r="H137" s="54"/>
      <c r="I137" s="121"/>
      <c r="J137" s="54"/>
      <c r="K137" s="54"/>
      <c r="L137" s="54"/>
      <c r="M137" s="54"/>
      <c r="N137" s="54"/>
    </row>
    <row r="138" spans="1:14" x14ac:dyDescent="0.3">
      <c r="A138" s="54"/>
      <c r="B138" s="54"/>
      <c r="C138" s="54"/>
      <c r="D138" s="54"/>
      <c r="E138" s="54"/>
      <c r="F138" s="54"/>
      <c r="G138" s="54"/>
      <c r="H138" s="54"/>
      <c r="I138" s="121"/>
      <c r="J138" s="54"/>
      <c r="K138" s="54"/>
      <c r="L138" s="54"/>
      <c r="M138" s="54"/>
      <c r="N138" s="54"/>
    </row>
    <row r="139" spans="1:14" x14ac:dyDescent="0.3">
      <c r="A139" s="54"/>
      <c r="B139" s="54"/>
      <c r="C139" s="54"/>
      <c r="D139" s="54"/>
      <c r="E139" s="54"/>
      <c r="F139" s="54"/>
      <c r="G139" s="54"/>
      <c r="H139" s="54"/>
      <c r="I139" s="121"/>
      <c r="J139" s="54"/>
      <c r="K139" s="54"/>
      <c r="L139" s="54"/>
      <c r="M139" s="54"/>
      <c r="N139" s="54"/>
    </row>
    <row r="140" spans="1:14" x14ac:dyDescent="0.3">
      <c r="A140" s="54"/>
      <c r="B140" s="54"/>
      <c r="C140" s="54"/>
      <c r="D140" s="54"/>
      <c r="E140" s="54"/>
      <c r="F140" s="54"/>
      <c r="G140" s="54"/>
      <c r="H140" s="54"/>
      <c r="I140" s="121"/>
      <c r="J140" s="54"/>
      <c r="K140" s="54"/>
      <c r="L140" s="54"/>
      <c r="M140" s="54"/>
      <c r="N140" s="54"/>
    </row>
    <row r="141" spans="1:14" x14ac:dyDescent="0.3">
      <c r="A141" s="54"/>
      <c r="B141" s="54"/>
      <c r="C141" s="54"/>
      <c r="D141" s="54"/>
      <c r="E141" s="54"/>
      <c r="F141" s="54"/>
      <c r="G141" s="54"/>
      <c r="H141" s="54"/>
      <c r="I141" s="121"/>
      <c r="J141" s="54"/>
      <c r="K141" s="54"/>
      <c r="L141" s="54"/>
      <c r="M141" s="54"/>
      <c r="N141" s="54"/>
    </row>
    <row r="142" spans="1:14" x14ac:dyDescent="0.3">
      <c r="A142" s="54"/>
      <c r="B142" s="54"/>
      <c r="C142" s="54"/>
      <c r="D142" s="54"/>
      <c r="E142" s="54"/>
      <c r="F142" s="54"/>
      <c r="G142" s="54"/>
      <c r="H142" s="54"/>
      <c r="I142" s="121"/>
      <c r="J142" s="54"/>
      <c r="K142" s="54"/>
      <c r="L142" s="54"/>
      <c r="M142" s="54"/>
      <c r="N142" s="54"/>
    </row>
    <row r="143" spans="1:14" x14ac:dyDescent="0.3">
      <c r="A143" s="54"/>
      <c r="B143" s="54"/>
      <c r="C143" s="54"/>
      <c r="D143" s="54"/>
      <c r="E143" s="54"/>
      <c r="F143" s="54"/>
      <c r="G143" s="54"/>
      <c r="H143" s="54"/>
      <c r="I143" s="121"/>
      <c r="J143" s="54"/>
      <c r="K143" s="54"/>
      <c r="L143" s="54"/>
      <c r="M143" s="54"/>
      <c r="N143" s="54"/>
    </row>
    <row r="144" spans="1:14" x14ac:dyDescent="0.3">
      <c r="A144" s="54"/>
      <c r="B144" s="54"/>
      <c r="C144" s="54"/>
      <c r="D144" s="54"/>
      <c r="E144" s="54"/>
      <c r="F144" s="54"/>
      <c r="G144" s="54"/>
      <c r="H144" s="54"/>
      <c r="I144" s="121"/>
      <c r="J144" s="54"/>
      <c r="K144" s="54"/>
      <c r="L144" s="54"/>
      <c r="M144" s="54"/>
      <c r="N144" s="54"/>
    </row>
    <row r="145" spans="1:14" x14ac:dyDescent="0.3">
      <c r="A145" s="54"/>
      <c r="B145" s="54"/>
      <c r="C145" s="54"/>
      <c r="D145" s="54"/>
      <c r="E145" s="54"/>
      <c r="F145" s="54"/>
      <c r="G145" s="54"/>
      <c r="H145" s="54"/>
      <c r="I145" s="121"/>
      <c r="J145" s="54"/>
      <c r="K145" s="54"/>
      <c r="L145" s="54"/>
      <c r="M145" s="54"/>
      <c r="N145" s="54"/>
    </row>
    <row r="146" spans="1:14" x14ac:dyDescent="0.3">
      <c r="A146" s="54"/>
      <c r="B146" s="54"/>
      <c r="C146" s="54"/>
      <c r="D146" s="54"/>
      <c r="E146" s="54"/>
      <c r="F146" s="54"/>
      <c r="G146" s="54"/>
      <c r="H146" s="54"/>
      <c r="I146" s="121"/>
      <c r="J146" s="54"/>
      <c r="K146" s="54"/>
      <c r="L146" s="54"/>
      <c r="M146" s="54"/>
      <c r="N146" s="54"/>
    </row>
    <row r="147" spans="1:14" x14ac:dyDescent="0.3">
      <c r="A147" s="54"/>
      <c r="B147" s="54"/>
      <c r="C147" s="54"/>
      <c r="D147" s="54"/>
      <c r="E147" s="54"/>
      <c r="F147" s="54"/>
      <c r="G147" s="54"/>
      <c r="H147" s="54"/>
      <c r="I147" s="121"/>
      <c r="J147" s="54"/>
      <c r="K147" s="54"/>
      <c r="L147" s="54"/>
      <c r="M147" s="54"/>
      <c r="N147" s="54"/>
    </row>
    <row r="148" spans="1:14" x14ac:dyDescent="0.3">
      <c r="A148" s="54"/>
      <c r="B148" s="54"/>
      <c r="C148" s="54"/>
      <c r="D148" s="54"/>
      <c r="E148" s="54"/>
      <c r="F148" s="54"/>
      <c r="G148" s="54"/>
      <c r="H148" s="54"/>
      <c r="I148" s="121"/>
      <c r="J148" s="54"/>
      <c r="K148" s="54"/>
      <c r="L148" s="54"/>
      <c r="M148" s="54"/>
      <c r="N148" s="54"/>
    </row>
    <row r="149" spans="1:14" x14ac:dyDescent="0.3">
      <c r="A149" s="54"/>
      <c r="B149" s="54"/>
      <c r="C149" s="54"/>
      <c r="D149" s="54"/>
      <c r="E149" s="54"/>
      <c r="F149" s="54"/>
      <c r="G149" s="54"/>
      <c r="H149" s="54"/>
      <c r="I149" s="121"/>
      <c r="J149" s="54"/>
      <c r="K149" s="54"/>
      <c r="L149" s="54"/>
      <c r="M149" s="54"/>
      <c r="N149" s="54"/>
    </row>
    <row r="150" spans="1:14" x14ac:dyDescent="0.3">
      <c r="A150" s="54"/>
      <c r="B150" s="54"/>
      <c r="C150" s="54"/>
      <c r="D150" s="54"/>
      <c r="E150" s="54"/>
      <c r="F150" s="54"/>
      <c r="G150" s="54"/>
      <c r="H150" s="54"/>
      <c r="I150" s="121"/>
      <c r="J150" s="54"/>
      <c r="K150" s="54"/>
      <c r="L150" s="54"/>
      <c r="M150" s="54"/>
      <c r="N150" s="54"/>
    </row>
    <row r="151" spans="1:14" x14ac:dyDescent="0.3">
      <c r="A151" s="54"/>
      <c r="B151" s="54"/>
      <c r="C151" s="54"/>
      <c r="D151" s="54"/>
      <c r="E151" s="54"/>
      <c r="F151" s="54"/>
      <c r="G151" s="54"/>
      <c r="H151" s="54"/>
      <c r="I151" s="121"/>
      <c r="J151" s="54"/>
      <c r="K151" s="54"/>
      <c r="L151" s="54"/>
      <c r="M151" s="54"/>
      <c r="N151" s="54"/>
    </row>
    <row r="152" spans="1:14" x14ac:dyDescent="0.3">
      <c r="A152" s="54"/>
      <c r="B152" s="54"/>
      <c r="C152" s="54"/>
      <c r="D152" s="54"/>
      <c r="E152" s="54"/>
      <c r="F152" s="54"/>
      <c r="G152" s="54"/>
      <c r="H152" s="54"/>
      <c r="I152" s="121"/>
      <c r="J152" s="54"/>
      <c r="K152" s="54"/>
      <c r="L152" s="54"/>
      <c r="M152" s="54"/>
      <c r="N152" s="54"/>
    </row>
    <row r="153" spans="1:14" x14ac:dyDescent="0.3">
      <c r="A153" s="54"/>
      <c r="B153" s="54"/>
      <c r="C153" s="54"/>
      <c r="D153" s="54"/>
      <c r="E153" s="54"/>
      <c r="F153" s="54"/>
      <c r="G153" s="54"/>
      <c r="H153" s="54"/>
      <c r="I153" s="121"/>
      <c r="J153" s="54"/>
      <c r="K153" s="54"/>
      <c r="L153" s="54"/>
      <c r="M153" s="54"/>
      <c r="N153" s="54"/>
    </row>
    <row r="154" spans="1:14" x14ac:dyDescent="0.3">
      <c r="A154" s="54"/>
      <c r="B154" s="54"/>
      <c r="C154" s="54"/>
      <c r="D154" s="54"/>
      <c r="E154" s="54"/>
      <c r="F154" s="54"/>
      <c r="G154" s="54"/>
      <c r="H154" s="54"/>
      <c r="I154" s="121"/>
      <c r="J154" s="54"/>
      <c r="K154" s="54"/>
      <c r="L154" s="54"/>
      <c r="M154" s="54"/>
      <c r="N154" s="54"/>
    </row>
    <row r="155" spans="1:14" x14ac:dyDescent="0.3">
      <c r="A155" s="54"/>
      <c r="B155" s="54"/>
      <c r="C155" s="54"/>
      <c r="D155" s="54"/>
      <c r="E155" s="54"/>
      <c r="F155" s="54"/>
      <c r="G155" s="54"/>
      <c r="H155" s="54"/>
      <c r="I155" s="121"/>
      <c r="J155" s="54"/>
      <c r="K155" s="54"/>
      <c r="L155" s="54"/>
      <c r="M155" s="54"/>
      <c r="N155" s="54"/>
    </row>
    <row r="156" spans="1:14" x14ac:dyDescent="0.3">
      <c r="A156" s="54"/>
      <c r="B156" s="54"/>
      <c r="C156" s="54"/>
      <c r="D156" s="54"/>
      <c r="E156" s="54"/>
      <c r="F156" s="54"/>
      <c r="G156" s="54"/>
      <c r="H156" s="54"/>
      <c r="I156" s="121"/>
      <c r="J156" s="54"/>
      <c r="K156" s="54"/>
      <c r="L156" s="54"/>
      <c r="M156" s="54"/>
      <c r="N156" s="54"/>
    </row>
    <row r="157" spans="1:14" x14ac:dyDescent="0.3">
      <c r="A157" s="54"/>
      <c r="B157" s="54"/>
      <c r="C157" s="54"/>
      <c r="D157" s="54"/>
      <c r="E157" s="54"/>
      <c r="F157" s="54"/>
      <c r="G157" s="54"/>
      <c r="H157" s="54"/>
      <c r="I157" s="121"/>
      <c r="J157" s="54"/>
      <c r="K157" s="54"/>
      <c r="L157" s="54"/>
      <c r="M157" s="54"/>
      <c r="N157" s="54"/>
    </row>
    <row r="158" spans="1:14" x14ac:dyDescent="0.3">
      <c r="A158" s="54"/>
      <c r="B158" s="54"/>
      <c r="C158" s="54"/>
      <c r="D158" s="54"/>
      <c r="E158" s="54"/>
      <c r="F158" s="54"/>
      <c r="G158" s="54"/>
      <c r="H158" s="54"/>
      <c r="I158" s="121"/>
      <c r="J158" s="54"/>
      <c r="K158" s="54"/>
      <c r="L158" s="54"/>
      <c r="M158" s="54"/>
      <c r="N158" s="54"/>
    </row>
    <row r="159" spans="1:14" x14ac:dyDescent="0.3">
      <c r="A159" s="54"/>
      <c r="B159" s="54"/>
      <c r="C159" s="54"/>
      <c r="D159" s="54"/>
      <c r="E159" s="54"/>
      <c r="F159" s="54"/>
      <c r="G159" s="54"/>
      <c r="H159" s="54"/>
      <c r="I159" s="121"/>
      <c r="J159" s="54"/>
      <c r="K159" s="54"/>
      <c r="L159" s="54"/>
      <c r="M159" s="54"/>
      <c r="N159" s="54"/>
    </row>
    <row r="160" spans="1:14" x14ac:dyDescent="0.3">
      <c r="A160" s="54"/>
      <c r="B160" s="54"/>
      <c r="C160" s="54"/>
      <c r="D160" s="54"/>
      <c r="E160" s="54"/>
      <c r="F160" s="54"/>
      <c r="G160" s="54"/>
      <c r="H160" s="54"/>
      <c r="I160" s="121"/>
      <c r="J160" s="54"/>
      <c r="K160" s="54"/>
      <c r="L160" s="54"/>
      <c r="M160" s="54"/>
      <c r="N160" s="54"/>
    </row>
    <row r="161" spans="1:14" x14ac:dyDescent="0.3">
      <c r="A161" s="54"/>
      <c r="B161" s="54"/>
      <c r="C161" s="54"/>
      <c r="D161" s="54"/>
      <c r="E161" s="54"/>
      <c r="F161" s="54"/>
      <c r="G161" s="54"/>
      <c r="H161" s="54"/>
      <c r="I161" s="121"/>
      <c r="J161" s="54"/>
      <c r="K161" s="54"/>
      <c r="L161" s="54"/>
      <c r="M161" s="54"/>
      <c r="N161" s="54"/>
    </row>
    <row r="162" spans="1:14" x14ac:dyDescent="0.3">
      <c r="A162" s="54"/>
      <c r="B162" s="54"/>
      <c r="C162" s="54"/>
      <c r="D162" s="54"/>
      <c r="E162" s="54"/>
      <c r="F162" s="54"/>
      <c r="G162" s="54"/>
      <c r="H162" s="54"/>
      <c r="I162" s="121"/>
      <c r="J162" s="54"/>
      <c r="K162" s="54"/>
      <c r="L162" s="54"/>
      <c r="M162" s="54"/>
      <c r="N162" s="54"/>
    </row>
    <row r="163" spans="1:14" x14ac:dyDescent="0.3">
      <c r="A163" s="54"/>
      <c r="B163" s="54"/>
      <c r="C163" s="54"/>
      <c r="D163" s="54"/>
      <c r="E163" s="54"/>
      <c r="F163" s="54"/>
      <c r="G163" s="54"/>
      <c r="H163" s="54"/>
      <c r="I163" s="121"/>
      <c r="J163" s="54"/>
      <c r="K163" s="54"/>
      <c r="L163" s="54"/>
      <c r="M163" s="54"/>
      <c r="N163" s="54"/>
    </row>
    <row r="164" spans="1:14" x14ac:dyDescent="0.3">
      <c r="A164" s="54"/>
      <c r="B164" s="54"/>
      <c r="C164" s="54"/>
      <c r="D164" s="54"/>
      <c r="E164" s="54"/>
      <c r="F164" s="54"/>
      <c r="G164" s="54"/>
      <c r="H164" s="54"/>
      <c r="I164" s="121"/>
      <c r="J164" s="54"/>
      <c r="K164" s="54"/>
      <c r="L164" s="54"/>
      <c r="M164" s="54"/>
      <c r="N164" s="54"/>
    </row>
    <row r="165" spans="1:14" x14ac:dyDescent="0.3">
      <c r="A165" s="54"/>
      <c r="B165" s="54"/>
      <c r="C165" s="54"/>
      <c r="D165" s="54"/>
      <c r="E165" s="54"/>
      <c r="F165" s="54"/>
      <c r="G165" s="54"/>
      <c r="H165" s="54"/>
      <c r="I165" s="121"/>
      <c r="J165" s="54"/>
      <c r="K165" s="54"/>
      <c r="L165" s="54"/>
      <c r="M165" s="54"/>
      <c r="N165" s="54"/>
    </row>
    <row r="166" spans="1:14" x14ac:dyDescent="0.3">
      <c r="A166" s="54"/>
      <c r="B166" s="54"/>
      <c r="C166" s="54"/>
      <c r="D166" s="54"/>
      <c r="E166" s="54"/>
      <c r="F166" s="54"/>
      <c r="G166" s="54"/>
      <c r="H166" s="54"/>
      <c r="I166" s="121"/>
      <c r="J166" s="54"/>
      <c r="K166" s="54"/>
      <c r="L166" s="54"/>
      <c r="M166" s="54"/>
      <c r="N166" s="54"/>
    </row>
    <row r="167" spans="1:14" x14ac:dyDescent="0.3">
      <c r="A167" s="54"/>
      <c r="B167" s="54"/>
      <c r="C167" s="54"/>
      <c r="D167" s="54"/>
      <c r="E167" s="54"/>
      <c r="F167" s="54"/>
      <c r="G167" s="54"/>
      <c r="H167" s="54"/>
      <c r="I167" s="121"/>
      <c r="J167" s="54"/>
      <c r="K167" s="54"/>
      <c r="L167" s="54"/>
      <c r="M167" s="54"/>
      <c r="N167" s="54"/>
    </row>
    <row r="168" spans="1:14" x14ac:dyDescent="0.3">
      <c r="A168" s="54"/>
      <c r="B168" s="54"/>
      <c r="C168" s="54"/>
      <c r="D168" s="54"/>
      <c r="E168" s="54"/>
      <c r="F168" s="54"/>
      <c r="G168" s="54"/>
      <c r="H168" s="54"/>
      <c r="I168" s="121"/>
      <c r="J168" s="54"/>
      <c r="K168" s="54"/>
      <c r="L168" s="54"/>
      <c r="M168" s="54"/>
      <c r="N168" s="54"/>
    </row>
    <row r="169" spans="1:14" x14ac:dyDescent="0.3">
      <c r="A169" s="54"/>
      <c r="B169" s="54"/>
      <c r="C169" s="54"/>
      <c r="D169" s="54"/>
      <c r="E169" s="54"/>
      <c r="F169" s="54"/>
      <c r="G169" s="54"/>
      <c r="H169" s="54"/>
      <c r="I169" s="121"/>
      <c r="J169" s="54"/>
      <c r="K169" s="54"/>
      <c r="L169" s="54"/>
      <c r="M169" s="54"/>
      <c r="N169" s="54"/>
    </row>
    <row r="170" spans="1:14" x14ac:dyDescent="0.3">
      <c r="A170" s="54"/>
      <c r="B170" s="54"/>
      <c r="C170" s="54"/>
      <c r="D170" s="54"/>
      <c r="E170" s="54"/>
      <c r="F170" s="54"/>
      <c r="G170" s="54"/>
      <c r="H170" s="54"/>
      <c r="I170" s="121"/>
      <c r="J170" s="54"/>
      <c r="K170" s="54"/>
      <c r="L170" s="54"/>
      <c r="M170" s="54"/>
      <c r="N170" s="54"/>
    </row>
    <row r="171" spans="1:14" x14ac:dyDescent="0.3">
      <c r="A171" s="54"/>
      <c r="B171" s="54"/>
      <c r="C171" s="54"/>
      <c r="D171" s="54"/>
      <c r="E171" s="54"/>
      <c r="F171" s="54"/>
      <c r="G171" s="54"/>
      <c r="H171" s="54"/>
      <c r="I171" s="121"/>
      <c r="J171" s="54"/>
      <c r="K171" s="54"/>
      <c r="L171" s="54"/>
      <c r="M171" s="54"/>
      <c r="N171" s="54"/>
    </row>
    <row r="172" spans="1:14" x14ac:dyDescent="0.3">
      <c r="A172" s="54"/>
      <c r="B172" s="54"/>
      <c r="C172" s="54"/>
      <c r="D172" s="54"/>
      <c r="E172" s="54"/>
      <c r="F172" s="54"/>
      <c r="G172" s="54"/>
      <c r="H172" s="54"/>
      <c r="I172" s="121"/>
      <c r="J172" s="54"/>
      <c r="K172" s="54"/>
      <c r="L172" s="54"/>
      <c r="M172" s="54"/>
      <c r="N172" s="54"/>
    </row>
    <row r="173" spans="1:14" x14ac:dyDescent="0.3">
      <c r="A173" s="54"/>
      <c r="B173" s="54"/>
      <c r="C173" s="54"/>
      <c r="D173" s="54"/>
      <c r="E173" s="54"/>
      <c r="F173" s="54"/>
      <c r="G173" s="54"/>
      <c r="H173" s="54"/>
      <c r="I173" s="121"/>
      <c r="J173" s="54"/>
      <c r="K173" s="54"/>
      <c r="L173" s="54"/>
      <c r="M173" s="54"/>
      <c r="N173" s="54"/>
    </row>
    <row r="174" spans="1:14" x14ac:dyDescent="0.3">
      <c r="A174" s="54"/>
      <c r="B174" s="54"/>
      <c r="C174" s="54"/>
      <c r="D174" s="54"/>
      <c r="E174" s="54"/>
      <c r="F174" s="54"/>
      <c r="G174" s="54"/>
      <c r="H174" s="54"/>
      <c r="I174" s="121"/>
      <c r="J174" s="54"/>
      <c r="K174" s="54"/>
      <c r="L174" s="54"/>
      <c r="M174" s="54"/>
      <c r="N174" s="54"/>
    </row>
    <row r="175" spans="1:14" x14ac:dyDescent="0.3">
      <c r="A175" s="54"/>
      <c r="B175" s="54"/>
      <c r="C175" s="54"/>
      <c r="D175" s="54"/>
      <c r="E175" s="54"/>
      <c r="F175" s="54"/>
      <c r="G175" s="54"/>
      <c r="H175" s="54"/>
      <c r="I175" s="121"/>
      <c r="J175" s="54"/>
      <c r="K175" s="54"/>
      <c r="L175" s="54"/>
      <c r="M175" s="54"/>
      <c r="N175" s="54"/>
    </row>
    <row r="176" spans="1:14" x14ac:dyDescent="0.3">
      <c r="A176" s="54"/>
      <c r="B176" s="54"/>
      <c r="C176" s="54"/>
      <c r="D176" s="54"/>
      <c r="E176" s="54"/>
      <c r="F176" s="54"/>
      <c r="G176" s="54"/>
      <c r="H176" s="54"/>
      <c r="I176" s="121"/>
      <c r="J176" s="54"/>
      <c r="K176" s="54"/>
      <c r="L176" s="54"/>
      <c r="M176" s="54"/>
      <c r="N176" s="54"/>
    </row>
    <row r="177" spans="1:14" x14ac:dyDescent="0.3">
      <c r="A177" s="54"/>
      <c r="B177" s="54"/>
      <c r="C177" s="54"/>
      <c r="D177" s="54"/>
      <c r="E177" s="54"/>
      <c r="F177" s="54"/>
      <c r="G177" s="54"/>
      <c r="H177" s="54"/>
      <c r="I177" s="121"/>
      <c r="J177" s="54"/>
      <c r="K177" s="54"/>
      <c r="L177" s="54"/>
      <c r="M177" s="54"/>
      <c r="N177" s="54"/>
    </row>
    <row r="178" spans="1:14" x14ac:dyDescent="0.3">
      <c r="A178" s="54"/>
      <c r="B178" s="54"/>
      <c r="C178" s="54"/>
      <c r="D178" s="54"/>
      <c r="E178" s="54"/>
      <c r="F178" s="54"/>
      <c r="G178" s="54"/>
      <c r="H178" s="54"/>
      <c r="I178" s="121"/>
      <c r="J178" s="54"/>
      <c r="K178" s="54"/>
      <c r="L178" s="54"/>
      <c r="M178" s="54"/>
      <c r="N178" s="54"/>
    </row>
    <row r="179" spans="1:14" x14ac:dyDescent="0.3">
      <c r="A179" s="54"/>
      <c r="B179" s="54"/>
      <c r="C179" s="54"/>
      <c r="D179" s="54"/>
      <c r="E179" s="54"/>
      <c r="F179" s="54"/>
      <c r="G179" s="54"/>
      <c r="H179" s="54"/>
      <c r="I179" s="121"/>
      <c r="J179" s="54"/>
      <c r="K179" s="54"/>
      <c r="L179" s="54"/>
      <c r="M179" s="54"/>
      <c r="N179" s="54"/>
    </row>
    <row r="180" spans="1:14" x14ac:dyDescent="0.3">
      <c r="A180" s="54"/>
      <c r="B180" s="54"/>
      <c r="C180" s="54"/>
      <c r="D180" s="54"/>
      <c r="E180" s="54"/>
      <c r="F180" s="54"/>
      <c r="G180" s="54"/>
      <c r="H180" s="54"/>
      <c r="I180" s="121"/>
      <c r="J180" s="54"/>
      <c r="K180" s="54"/>
      <c r="L180" s="54"/>
      <c r="M180" s="54"/>
      <c r="N180" s="54"/>
    </row>
    <row r="181" spans="1:14" x14ac:dyDescent="0.3">
      <c r="A181" s="54"/>
      <c r="B181" s="54"/>
      <c r="C181" s="54"/>
      <c r="D181" s="54"/>
      <c r="E181" s="54"/>
      <c r="F181" s="54"/>
      <c r="G181" s="54"/>
      <c r="H181" s="54"/>
      <c r="I181" s="121"/>
      <c r="J181" s="54"/>
      <c r="K181" s="54"/>
      <c r="L181" s="54"/>
      <c r="M181" s="54"/>
      <c r="N181" s="54"/>
    </row>
    <row r="182" spans="1:14" x14ac:dyDescent="0.3">
      <c r="A182" s="54"/>
      <c r="B182" s="54"/>
      <c r="C182" s="54"/>
      <c r="D182" s="54"/>
      <c r="E182" s="54"/>
      <c r="F182" s="54"/>
      <c r="G182" s="54"/>
      <c r="H182" s="54"/>
      <c r="I182" s="121"/>
      <c r="J182" s="54"/>
      <c r="K182" s="54"/>
      <c r="L182" s="54"/>
      <c r="M182" s="54"/>
      <c r="N182" s="54"/>
    </row>
    <row r="183" spans="1:14" x14ac:dyDescent="0.3">
      <c r="A183" s="54"/>
      <c r="B183" s="54"/>
      <c r="C183" s="54"/>
      <c r="D183" s="54"/>
      <c r="E183" s="54"/>
      <c r="F183" s="54"/>
      <c r="G183" s="54"/>
      <c r="H183" s="54"/>
      <c r="I183" s="121"/>
      <c r="J183" s="54"/>
      <c r="K183" s="54"/>
      <c r="L183" s="54"/>
      <c r="M183" s="54"/>
      <c r="N183" s="54"/>
    </row>
    <row r="184" spans="1:14" x14ac:dyDescent="0.3">
      <c r="A184" s="54"/>
      <c r="B184" s="54"/>
      <c r="C184" s="54"/>
      <c r="D184" s="54"/>
      <c r="E184" s="54"/>
      <c r="F184" s="54"/>
      <c r="G184" s="54"/>
      <c r="H184" s="54"/>
      <c r="I184" s="121"/>
      <c r="J184" s="54"/>
      <c r="K184" s="54"/>
      <c r="L184" s="54"/>
      <c r="M184" s="54"/>
      <c r="N184" s="54"/>
    </row>
    <row r="185" spans="1:14" x14ac:dyDescent="0.3">
      <c r="A185" s="54"/>
      <c r="B185" s="54"/>
      <c r="C185" s="54"/>
      <c r="D185" s="54"/>
      <c r="E185" s="54"/>
      <c r="F185" s="54"/>
      <c r="G185" s="54"/>
      <c r="H185" s="54"/>
      <c r="I185" s="121"/>
      <c r="J185" s="54"/>
      <c r="K185" s="54"/>
      <c r="L185" s="54"/>
      <c r="M185" s="54"/>
      <c r="N185" s="54"/>
    </row>
    <row r="186" spans="1:14" x14ac:dyDescent="0.3">
      <c r="A186" s="54"/>
      <c r="B186" s="54"/>
      <c r="C186" s="54"/>
      <c r="D186" s="54"/>
      <c r="E186" s="54"/>
      <c r="F186" s="54"/>
      <c r="G186" s="54"/>
      <c r="H186" s="54"/>
      <c r="I186" s="121"/>
      <c r="J186" s="54"/>
      <c r="K186" s="54"/>
      <c r="L186" s="54"/>
      <c r="M186" s="54"/>
      <c r="N186" s="54"/>
    </row>
    <row r="187" spans="1:14" x14ac:dyDescent="0.3">
      <c r="A187" s="54"/>
      <c r="B187" s="54"/>
      <c r="C187" s="54"/>
      <c r="D187" s="54"/>
      <c r="E187" s="54"/>
      <c r="F187" s="54"/>
      <c r="G187" s="54"/>
      <c r="H187" s="54"/>
      <c r="I187" s="121"/>
      <c r="J187" s="54"/>
      <c r="K187" s="54"/>
      <c r="L187" s="54"/>
      <c r="M187" s="54"/>
      <c r="N187" s="54"/>
    </row>
    <row r="188" spans="1:14" x14ac:dyDescent="0.3">
      <c r="A188" s="54"/>
      <c r="B188" s="54"/>
      <c r="C188" s="54"/>
      <c r="D188" s="54"/>
      <c r="E188" s="54"/>
      <c r="F188" s="54"/>
      <c r="G188" s="54"/>
      <c r="H188" s="54"/>
      <c r="I188" s="121"/>
      <c r="J188" s="54"/>
      <c r="K188" s="54"/>
      <c r="L188" s="54"/>
      <c r="M188" s="54"/>
      <c r="N188" s="54"/>
    </row>
    <row r="189" spans="1:14" x14ac:dyDescent="0.3">
      <c r="A189" s="54"/>
      <c r="B189" s="54"/>
      <c r="C189" s="54"/>
      <c r="D189" s="54"/>
      <c r="E189" s="54"/>
      <c r="F189" s="54"/>
      <c r="G189" s="54"/>
      <c r="H189" s="54"/>
      <c r="I189" s="121"/>
      <c r="J189" s="54"/>
      <c r="K189" s="54"/>
      <c r="L189" s="54"/>
      <c r="M189" s="54"/>
      <c r="N189" s="54"/>
    </row>
    <row r="190" spans="1:14" x14ac:dyDescent="0.3">
      <c r="A190" s="54"/>
      <c r="B190" s="54"/>
      <c r="C190" s="54"/>
      <c r="D190" s="54"/>
      <c r="E190" s="54"/>
      <c r="F190" s="54"/>
      <c r="G190" s="54"/>
      <c r="H190" s="54"/>
      <c r="I190" s="121"/>
      <c r="J190" s="54"/>
      <c r="K190" s="54"/>
      <c r="L190" s="54"/>
      <c r="M190" s="54"/>
      <c r="N190" s="54"/>
    </row>
    <row r="191" spans="1:14" x14ac:dyDescent="0.3">
      <c r="A191" s="54"/>
      <c r="B191" s="54"/>
      <c r="C191" s="54"/>
      <c r="D191" s="54"/>
      <c r="E191" s="54"/>
      <c r="F191" s="54"/>
      <c r="G191" s="54"/>
      <c r="H191" s="54"/>
      <c r="I191" s="121"/>
      <c r="J191" s="54"/>
      <c r="K191" s="54"/>
      <c r="L191" s="54"/>
      <c r="M191" s="54"/>
      <c r="N191" s="54"/>
    </row>
    <row r="192" spans="1:14" x14ac:dyDescent="0.3">
      <c r="A192" s="54"/>
      <c r="B192" s="54"/>
      <c r="C192" s="54"/>
      <c r="D192" s="54"/>
      <c r="E192" s="54"/>
      <c r="F192" s="54"/>
      <c r="G192" s="54"/>
      <c r="H192" s="54"/>
      <c r="I192" s="121"/>
      <c r="J192" s="54"/>
      <c r="K192" s="54"/>
      <c r="L192" s="54"/>
      <c r="M192" s="54"/>
      <c r="N192" s="54"/>
    </row>
    <row r="193" spans="1:14" x14ac:dyDescent="0.3">
      <c r="A193" s="54"/>
      <c r="B193" s="54"/>
      <c r="C193" s="54"/>
      <c r="D193" s="54"/>
      <c r="E193" s="54"/>
      <c r="F193" s="54"/>
      <c r="G193" s="54"/>
      <c r="H193" s="54"/>
      <c r="I193" s="121"/>
      <c r="J193" s="54"/>
      <c r="K193" s="54"/>
      <c r="L193" s="54"/>
      <c r="M193" s="54"/>
      <c r="N193" s="54"/>
    </row>
    <row r="194" spans="1:14" x14ac:dyDescent="0.3">
      <c r="A194" s="54"/>
      <c r="B194" s="54"/>
      <c r="C194" s="54"/>
      <c r="D194" s="54"/>
      <c r="E194" s="54"/>
      <c r="F194" s="54"/>
      <c r="G194" s="54"/>
      <c r="H194" s="54"/>
      <c r="I194" s="121"/>
      <c r="J194" s="54"/>
      <c r="K194" s="54"/>
      <c r="L194" s="54"/>
      <c r="M194" s="54"/>
      <c r="N194" s="54"/>
    </row>
    <row r="195" spans="1:14" x14ac:dyDescent="0.3">
      <c r="A195" s="54"/>
      <c r="B195" s="54"/>
      <c r="C195" s="54"/>
      <c r="D195" s="54"/>
      <c r="E195" s="54"/>
      <c r="F195" s="54"/>
      <c r="G195" s="54"/>
      <c r="H195" s="54"/>
      <c r="I195" s="121"/>
      <c r="J195" s="54"/>
      <c r="K195" s="54"/>
      <c r="L195" s="54"/>
      <c r="M195" s="54"/>
      <c r="N195" s="54"/>
    </row>
    <row r="196" spans="1:14" x14ac:dyDescent="0.3">
      <c r="A196" s="54"/>
      <c r="B196" s="54"/>
      <c r="C196" s="54"/>
      <c r="D196" s="54"/>
      <c r="E196" s="54"/>
      <c r="F196" s="54"/>
      <c r="G196" s="54"/>
      <c r="H196" s="54"/>
      <c r="I196" s="121"/>
      <c r="J196" s="54"/>
      <c r="K196" s="54"/>
      <c r="L196" s="54"/>
      <c r="M196" s="54"/>
      <c r="N196" s="54"/>
    </row>
    <row r="197" spans="1:14" x14ac:dyDescent="0.3">
      <c r="A197" s="54"/>
      <c r="B197" s="54"/>
      <c r="C197" s="54"/>
      <c r="D197" s="54"/>
      <c r="E197" s="54"/>
      <c r="F197" s="54"/>
      <c r="G197" s="54"/>
      <c r="H197" s="54"/>
      <c r="I197" s="121"/>
      <c r="J197" s="54"/>
      <c r="K197" s="54"/>
      <c r="L197" s="54"/>
      <c r="M197" s="54"/>
      <c r="N197" s="54"/>
    </row>
    <row r="198" spans="1:14" x14ac:dyDescent="0.3">
      <c r="A198" s="54"/>
      <c r="B198" s="54"/>
      <c r="C198" s="54"/>
      <c r="D198" s="54"/>
      <c r="E198" s="54"/>
      <c r="F198" s="54"/>
      <c r="G198" s="54"/>
      <c r="H198" s="54"/>
      <c r="I198" s="121"/>
      <c r="J198" s="54"/>
      <c r="K198" s="54"/>
      <c r="L198" s="54"/>
      <c r="M198" s="54"/>
      <c r="N198" s="54"/>
    </row>
    <row r="199" spans="1:14" x14ac:dyDescent="0.3">
      <c r="A199" s="54"/>
      <c r="B199" s="54"/>
      <c r="C199" s="54"/>
      <c r="D199" s="54"/>
      <c r="E199" s="54"/>
      <c r="F199" s="54"/>
      <c r="G199" s="54"/>
      <c r="H199" s="54"/>
      <c r="I199" s="121"/>
      <c r="J199" s="54"/>
      <c r="K199" s="54"/>
      <c r="L199" s="54"/>
      <c r="M199" s="54"/>
      <c r="N199" s="54"/>
    </row>
    <row r="200" spans="1:14" x14ac:dyDescent="0.3">
      <c r="A200" s="54"/>
      <c r="B200" s="54"/>
      <c r="C200" s="54"/>
      <c r="D200" s="54"/>
      <c r="E200" s="54"/>
      <c r="F200" s="54"/>
      <c r="G200" s="54"/>
      <c r="H200" s="54"/>
      <c r="I200" s="121"/>
      <c r="J200" s="54"/>
      <c r="K200" s="54"/>
      <c r="L200" s="54"/>
      <c r="M200" s="54"/>
      <c r="N200" s="54"/>
    </row>
    <row r="201" spans="1:14" x14ac:dyDescent="0.3">
      <c r="A201" s="54"/>
      <c r="B201" s="54"/>
      <c r="C201" s="54"/>
      <c r="D201" s="54"/>
      <c r="E201" s="54"/>
      <c r="F201" s="54"/>
      <c r="G201" s="54"/>
      <c r="H201" s="54"/>
      <c r="I201" s="121"/>
      <c r="J201" s="54"/>
      <c r="K201" s="54"/>
      <c r="L201" s="54"/>
      <c r="M201" s="54"/>
      <c r="N201" s="54"/>
    </row>
    <row r="202" spans="1:14" x14ac:dyDescent="0.3">
      <c r="A202" s="54"/>
      <c r="B202" s="54"/>
      <c r="C202" s="54"/>
      <c r="D202" s="54"/>
      <c r="E202" s="54"/>
      <c r="F202" s="54"/>
      <c r="G202" s="54"/>
      <c r="H202" s="54"/>
      <c r="I202" s="121"/>
      <c r="J202" s="54"/>
      <c r="K202" s="54"/>
      <c r="L202" s="54"/>
      <c r="M202" s="54"/>
      <c r="N202" s="54"/>
    </row>
    <row r="203" spans="1:14" x14ac:dyDescent="0.3">
      <c r="A203" s="54"/>
      <c r="B203" s="54"/>
      <c r="C203" s="54"/>
      <c r="D203" s="54"/>
      <c r="E203" s="54"/>
      <c r="F203" s="54"/>
      <c r="G203" s="54"/>
      <c r="H203" s="54"/>
      <c r="I203" s="121"/>
      <c r="J203" s="54"/>
      <c r="K203" s="54"/>
      <c r="L203" s="54"/>
      <c r="M203" s="54"/>
      <c r="N203" s="54"/>
    </row>
    <row r="204" spans="1:14" x14ac:dyDescent="0.3">
      <c r="A204" s="54"/>
      <c r="B204" s="54"/>
      <c r="C204" s="54"/>
      <c r="D204" s="54"/>
      <c r="E204" s="54"/>
      <c r="F204" s="54"/>
      <c r="G204" s="54"/>
      <c r="H204" s="54"/>
      <c r="I204" s="121"/>
      <c r="J204" s="54"/>
      <c r="K204" s="54"/>
      <c r="L204" s="54"/>
      <c r="M204" s="54"/>
      <c r="N204" s="54"/>
    </row>
    <row r="205" spans="1:14" x14ac:dyDescent="0.3">
      <c r="A205" s="54"/>
      <c r="B205" s="54"/>
      <c r="C205" s="54"/>
      <c r="D205" s="54"/>
      <c r="E205" s="54"/>
      <c r="F205" s="54"/>
      <c r="G205" s="54"/>
      <c r="H205" s="54"/>
      <c r="I205" s="121"/>
      <c r="J205" s="54"/>
      <c r="K205" s="54"/>
      <c r="L205" s="54"/>
      <c r="M205" s="54"/>
      <c r="N205" s="54"/>
    </row>
    <row r="206" spans="1:14" x14ac:dyDescent="0.3">
      <c r="A206" s="54"/>
      <c r="B206" s="54"/>
      <c r="C206" s="54"/>
      <c r="D206" s="54"/>
      <c r="E206" s="54"/>
      <c r="F206" s="54"/>
      <c r="G206" s="54"/>
      <c r="H206" s="54"/>
      <c r="I206" s="121"/>
      <c r="J206" s="54"/>
      <c r="K206" s="54"/>
      <c r="L206" s="54"/>
      <c r="M206" s="54"/>
      <c r="N206" s="54"/>
    </row>
    <row r="207" spans="1:14" x14ac:dyDescent="0.3">
      <c r="A207" s="54"/>
      <c r="B207" s="54"/>
      <c r="C207" s="54"/>
      <c r="D207" s="54"/>
      <c r="E207" s="54"/>
      <c r="F207" s="54"/>
      <c r="G207" s="54"/>
      <c r="H207" s="54"/>
      <c r="I207" s="121"/>
      <c r="J207" s="54"/>
      <c r="K207" s="54"/>
      <c r="L207" s="54"/>
      <c r="M207" s="54"/>
      <c r="N207" s="54"/>
    </row>
    <row r="208" spans="1:14" x14ac:dyDescent="0.3">
      <c r="A208" s="54"/>
      <c r="B208" s="54"/>
      <c r="C208" s="54"/>
      <c r="D208" s="54"/>
      <c r="E208" s="54"/>
      <c r="F208" s="54"/>
      <c r="G208" s="54"/>
      <c r="H208" s="54"/>
      <c r="I208" s="121"/>
      <c r="J208" s="54"/>
      <c r="K208" s="54"/>
      <c r="L208" s="54"/>
      <c r="M208" s="54"/>
      <c r="N208" s="54"/>
    </row>
    <row r="209" spans="1:14" x14ac:dyDescent="0.3">
      <c r="A209" s="54"/>
      <c r="B209" s="54"/>
      <c r="C209" s="54"/>
      <c r="D209" s="54"/>
      <c r="E209" s="54"/>
      <c r="F209" s="54"/>
      <c r="G209" s="54"/>
      <c r="H209" s="54"/>
      <c r="I209" s="121"/>
      <c r="J209" s="54"/>
      <c r="K209" s="54"/>
      <c r="L209" s="54"/>
      <c r="M209" s="54"/>
      <c r="N209" s="54"/>
    </row>
    <row r="210" spans="1:14" x14ac:dyDescent="0.3">
      <c r="A210" s="54"/>
      <c r="B210" s="54"/>
      <c r="C210" s="54"/>
      <c r="D210" s="54"/>
      <c r="E210" s="54"/>
      <c r="F210" s="54"/>
      <c r="G210" s="54"/>
      <c r="H210" s="54"/>
      <c r="I210" s="121"/>
      <c r="J210" s="54"/>
      <c r="K210" s="54"/>
      <c r="L210" s="54"/>
      <c r="M210" s="54"/>
      <c r="N210" s="54"/>
    </row>
    <row r="211" spans="1:14" x14ac:dyDescent="0.3">
      <c r="A211" s="54"/>
      <c r="B211" s="54"/>
      <c r="C211" s="54"/>
      <c r="D211" s="54"/>
      <c r="E211" s="54"/>
      <c r="F211" s="54"/>
      <c r="G211" s="54"/>
      <c r="H211" s="54"/>
      <c r="I211" s="121"/>
      <c r="J211" s="54"/>
      <c r="K211" s="54"/>
      <c r="L211" s="54"/>
      <c r="M211" s="54"/>
      <c r="N211" s="54"/>
    </row>
    <row r="212" spans="1:14" x14ac:dyDescent="0.3">
      <c r="A212" s="54"/>
      <c r="B212" s="54"/>
      <c r="C212" s="54"/>
      <c r="D212" s="54"/>
      <c r="E212" s="54"/>
      <c r="F212" s="54"/>
      <c r="G212" s="54"/>
      <c r="H212" s="54"/>
      <c r="I212" s="121"/>
      <c r="J212" s="54"/>
      <c r="K212" s="54"/>
      <c r="L212" s="54"/>
      <c r="M212" s="54"/>
      <c r="N212" s="54"/>
    </row>
    <row r="213" spans="1:14" x14ac:dyDescent="0.3">
      <c r="A213" s="54"/>
      <c r="B213" s="54"/>
      <c r="C213" s="54"/>
      <c r="D213" s="54"/>
      <c r="E213" s="54"/>
      <c r="F213" s="54"/>
      <c r="G213" s="54"/>
      <c r="H213" s="54"/>
      <c r="I213" s="121"/>
      <c r="J213" s="54"/>
      <c r="K213" s="54"/>
      <c r="L213" s="54"/>
      <c r="M213" s="54"/>
      <c r="N213" s="54"/>
    </row>
    <row r="214" spans="1:14" x14ac:dyDescent="0.3">
      <c r="A214" s="54"/>
      <c r="B214" s="54"/>
      <c r="C214" s="54"/>
      <c r="D214" s="54"/>
      <c r="E214" s="54"/>
      <c r="F214" s="54"/>
      <c r="G214" s="54"/>
      <c r="H214" s="54"/>
      <c r="I214" s="121"/>
      <c r="J214" s="54"/>
      <c r="K214" s="54"/>
      <c r="L214" s="54"/>
      <c r="M214" s="54"/>
      <c r="N214" s="54"/>
    </row>
    <row r="215" spans="1:14" x14ac:dyDescent="0.3">
      <c r="A215" s="54"/>
      <c r="B215" s="54"/>
      <c r="C215" s="54"/>
      <c r="D215" s="54"/>
      <c r="E215" s="54"/>
      <c r="F215" s="54"/>
      <c r="G215" s="54"/>
      <c r="H215" s="54"/>
      <c r="I215" s="121"/>
      <c r="J215" s="54"/>
      <c r="K215" s="54"/>
      <c r="L215" s="54"/>
      <c r="M215" s="54"/>
      <c r="N215" s="54"/>
    </row>
    <row r="216" spans="1:14" x14ac:dyDescent="0.3">
      <c r="A216" s="54"/>
      <c r="B216" s="54"/>
      <c r="C216" s="54"/>
      <c r="D216" s="54"/>
      <c r="E216" s="54"/>
      <c r="F216" s="54"/>
      <c r="G216" s="54"/>
      <c r="H216" s="54"/>
      <c r="I216" s="121"/>
      <c r="J216" s="54"/>
      <c r="K216" s="54"/>
      <c r="L216" s="54"/>
      <c r="M216" s="54"/>
      <c r="N216" s="54"/>
    </row>
    <row r="217" spans="1:14" x14ac:dyDescent="0.3">
      <c r="A217" s="54"/>
      <c r="B217" s="54"/>
      <c r="C217" s="54"/>
      <c r="D217" s="54"/>
      <c r="E217" s="54"/>
      <c r="F217" s="54"/>
      <c r="G217" s="54"/>
      <c r="H217" s="54"/>
      <c r="I217" s="121"/>
      <c r="J217" s="54"/>
      <c r="K217" s="54"/>
      <c r="L217" s="54"/>
      <c r="M217" s="54"/>
      <c r="N217" s="54"/>
    </row>
    <row r="218" spans="1:14" x14ac:dyDescent="0.3">
      <c r="A218" s="54"/>
      <c r="B218" s="54"/>
      <c r="C218" s="54"/>
      <c r="D218" s="54"/>
      <c r="E218" s="54"/>
      <c r="F218" s="54"/>
      <c r="G218" s="54"/>
      <c r="H218" s="54"/>
      <c r="I218" s="121"/>
      <c r="J218" s="54"/>
      <c r="K218" s="54"/>
      <c r="L218" s="54"/>
      <c r="M218" s="54"/>
      <c r="N218" s="54"/>
    </row>
    <row r="219" spans="1:14" x14ac:dyDescent="0.3">
      <c r="A219" s="54"/>
      <c r="B219" s="54"/>
      <c r="C219" s="54"/>
      <c r="D219" s="54"/>
      <c r="E219" s="54"/>
      <c r="F219" s="54"/>
      <c r="G219" s="54"/>
      <c r="H219" s="54"/>
      <c r="I219" s="121"/>
      <c r="J219" s="54"/>
      <c r="K219" s="54"/>
      <c r="L219" s="54"/>
      <c r="M219" s="54"/>
      <c r="N219" s="54"/>
    </row>
    <row r="220" spans="1:14" x14ac:dyDescent="0.3">
      <c r="A220" s="54"/>
      <c r="B220" s="54"/>
      <c r="C220" s="54"/>
      <c r="D220" s="54"/>
      <c r="E220" s="54"/>
      <c r="F220" s="54"/>
      <c r="G220" s="54"/>
      <c r="H220" s="54"/>
      <c r="I220" s="121"/>
      <c r="J220" s="54"/>
      <c r="K220" s="54"/>
      <c r="L220" s="54"/>
      <c r="M220" s="54"/>
      <c r="N220" s="54"/>
    </row>
    <row r="221" spans="1:14" x14ac:dyDescent="0.3">
      <c r="A221" s="54"/>
      <c r="B221" s="54"/>
      <c r="C221" s="54"/>
      <c r="D221" s="54"/>
      <c r="E221" s="54"/>
      <c r="F221" s="54"/>
      <c r="G221" s="54"/>
      <c r="H221" s="54"/>
      <c r="I221" s="121"/>
      <c r="J221" s="54"/>
      <c r="K221" s="54"/>
      <c r="L221" s="54"/>
      <c r="M221" s="54"/>
      <c r="N221" s="54"/>
    </row>
    <row r="222" spans="1:14" x14ac:dyDescent="0.3">
      <c r="A222" s="54"/>
      <c r="B222" s="54"/>
      <c r="C222" s="54"/>
      <c r="D222" s="54"/>
      <c r="E222" s="54"/>
      <c r="F222" s="54"/>
      <c r="G222" s="54"/>
      <c r="H222" s="54"/>
      <c r="I222" s="121"/>
      <c r="J222" s="54"/>
      <c r="K222" s="54"/>
      <c r="L222" s="54"/>
      <c r="M222" s="54"/>
      <c r="N222" s="54"/>
    </row>
    <row r="223" spans="1:14" x14ac:dyDescent="0.3">
      <c r="A223" s="54"/>
      <c r="B223" s="54"/>
      <c r="C223" s="54"/>
      <c r="D223" s="54"/>
      <c r="E223" s="54"/>
      <c r="F223" s="54"/>
      <c r="G223" s="54"/>
      <c r="H223" s="54"/>
      <c r="I223" s="121"/>
      <c r="J223" s="54"/>
      <c r="K223" s="54"/>
      <c r="L223" s="54"/>
      <c r="M223" s="54"/>
      <c r="N223" s="54"/>
    </row>
    <row r="224" spans="1:14" x14ac:dyDescent="0.3">
      <c r="A224" s="54"/>
      <c r="B224" s="54"/>
      <c r="C224" s="54"/>
      <c r="D224" s="54"/>
      <c r="E224" s="54"/>
      <c r="F224" s="54"/>
      <c r="G224" s="54"/>
      <c r="H224" s="54"/>
      <c r="I224" s="121"/>
      <c r="J224" s="54"/>
      <c r="K224" s="54"/>
      <c r="L224" s="54"/>
      <c r="M224" s="54"/>
      <c r="N224" s="54"/>
    </row>
    <row r="225" spans="1:14" x14ac:dyDescent="0.3">
      <c r="A225" s="54"/>
      <c r="B225" s="54"/>
      <c r="C225" s="54"/>
      <c r="D225" s="54"/>
      <c r="E225" s="54"/>
      <c r="F225" s="54"/>
      <c r="G225" s="54"/>
      <c r="H225" s="54"/>
      <c r="I225" s="121"/>
      <c r="J225" s="54"/>
      <c r="K225" s="54"/>
      <c r="L225" s="54"/>
      <c r="M225" s="54"/>
      <c r="N225" s="54"/>
    </row>
    <row r="226" spans="1:14" x14ac:dyDescent="0.3">
      <c r="A226" s="54"/>
      <c r="B226" s="54"/>
      <c r="C226" s="54"/>
      <c r="D226" s="54"/>
      <c r="E226" s="54"/>
      <c r="F226" s="54"/>
      <c r="G226" s="54"/>
      <c r="H226" s="54"/>
      <c r="I226" s="121"/>
      <c r="J226" s="54"/>
      <c r="K226" s="54"/>
      <c r="L226" s="54"/>
      <c r="M226" s="54"/>
      <c r="N226" s="54"/>
    </row>
    <row r="227" spans="1:14" x14ac:dyDescent="0.3">
      <c r="A227" s="54"/>
      <c r="B227" s="54"/>
      <c r="C227" s="54"/>
      <c r="D227" s="54"/>
      <c r="E227" s="54"/>
      <c r="F227" s="54"/>
      <c r="G227" s="54"/>
      <c r="H227" s="54"/>
      <c r="I227" s="121"/>
      <c r="J227" s="54"/>
      <c r="K227" s="54"/>
      <c r="L227" s="54"/>
      <c r="M227" s="54"/>
      <c r="N227" s="54"/>
    </row>
    <row r="228" spans="1:14" x14ac:dyDescent="0.3">
      <c r="A228" s="54"/>
      <c r="B228" s="54"/>
      <c r="C228" s="54"/>
      <c r="D228" s="54"/>
      <c r="E228" s="54"/>
      <c r="F228" s="54"/>
      <c r="G228" s="54"/>
      <c r="H228" s="54"/>
      <c r="I228" s="121"/>
      <c r="J228" s="54"/>
      <c r="K228" s="54"/>
      <c r="L228" s="54"/>
      <c r="M228" s="54"/>
      <c r="N228" s="54"/>
    </row>
    <row r="229" spans="1:14" x14ac:dyDescent="0.3">
      <c r="A229" s="54"/>
      <c r="B229" s="54"/>
      <c r="C229" s="54"/>
      <c r="D229" s="54"/>
      <c r="E229" s="54"/>
      <c r="F229" s="54"/>
      <c r="G229" s="54"/>
      <c r="H229" s="54"/>
      <c r="I229" s="121"/>
      <c r="J229" s="54"/>
      <c r="K229" s="54"/>
      <c r="L229" s="54"/>
      <c r="M229" s="54"/>
      <c r="N229" s="54"/>
    </row>
    <row r="230" spans="1:14" x14ac:dyDescent="0.3">
      <c r="A230" s="54"/>
      <c r="B230" s="54"/>
      <c r="C230" s="54"/>
      <c r="D230" s="54"/>
      <c r="E230" s="54"/>
      <c r="F230" s="54"/>
      <c r="G230" s="54"/>
      <c r="H230" s="54"/>
      <c r="I230" s="121"/>
      <c r="J230" s="54"/>
      <c r="K230" s="54"/>
      <c r="L230" s="54"/>
      <c r="M230" s="54"/>
      <c r="N230" s="54"/>
    </row>
    <row r="231" spans="1:14" x14ac:dyDescent="0.3">
      <c r="A231" s="54"/>
      <c r="B231" s="54"/>
      <c r="C231" s="54"/>
      <c r="D231" s="54"/>
      <c r="E231" s="54"/>
      <c r="F231" s="54"/>
      <c r="G231" s="54"/>
      <c r="H231" s="54"/>
      <c r="I231" s="121"/>
      <c r="J231" s="54"/>
      <c r="K231" s="54"/>
      <c r="L231" s="54"/>
      <c r="M231" s="54"/>
      <c r="N231" s="54"/>
    </row>
    <row r="232" spans="1:14" x14ac:dyDescent="0.3">
      <c r="A232" s="54"/>
      <c r="B232" s="54"/>
      <c r="C232" s="54"/>
      <c r="D232" s="54"/>
      <c r="E232" s="54"/>
      <c r="F232" s="54"/>
      <c r="G232" s="54"/>
      <c r="H232" s="54"/>
      <c r="I232" s="121"/>
      <c r="J232" s="54"/>
      <c r="K232" s="54"/>
      <c r="L232" s="54"/>
      <c r="M232" s="54"/>
      <c r="N232" s="54"/>
    </row>
    <row r="233" spans="1:14" x14ac:dyDescent="0.3">
      <c r="A233" s="54"/>
      <c r="B233" s="54"/>
      <c r="C233" s="54"/>
      <c r="D233" s="54"/>
      <c r="E233" s="54"/>
      <c r="F233" s="54"/>
      <c r="G233" s="54"/>
      <c r="H233" s="54"/>
      <c r="I233" s="121"/>
      <c r="J233" s="54"/>
      <c r="K233" s="54"/>
      <c r="L233" s="54"/>
      <c r="M233" s="54"/>
      <c r="N233" s="54"/>
    </row>
    <row r="234" spans="1:14" x14ac:dyDescent="0.3">
      <c r="A234" s="54"/>
      <c r="B234" s="54"/>
      <c r="C234" s="54"/>
      <c r="D234" s="54"/>
      <c r="E234" s="54"/>
      <c r="F234" s="54"/>
      <c r="G234" s="54"/>
      <c r="H234" s="54"/>
      <c r="I234" s="121"/>
      <c r="J234" s="54"/>
      <c r="K234" s="54"/>
      <c r="L234" s="54"/>
      <c r="M234" s="54"/>
      <c r="N234" s="54"/>
    </row>
    <row r="235" spans="1:14" x14ac:dyDescent="0.3">
      <c r="A235" s="54"/>
      <c r="B235" s="54"/>
      <c r="C235" s="54"/>
      <c r="D235" s="54"/>
      <c r="E235" s="54"/>
      <c r="F235" s="54"/>
      <c r="G235" s="54"/>
      <c r="H235" s="54"/>
      <c r="I235" s="121"/>
      <c r="J235" s="54"/>
      <c r="K235" s="54"/>
      <c r="L235" s="54"/>
      <c r="M235" s="54"/>
      <c r="N235" s="54"/>
    </row>
    <row r="236" spans="1:14" x14ac:dyDescent="0.3">
      <c r="A236" s="54"/>
      <c r="B236" s="54"/>
      <c r="C236" s="54"/>
      <c r="D236" s="54"/>
      <c r="E236" s="54"/>
      <c r="F236" s="54"/>
      <c r="G236" s="54"/>
      <c r="H236" s="54"/>
      <c r="I236" s="121"/>
      <c r="J236" s="54"/>
      <c r="K236" s="54"/>
      <c r="L236" s="54"/>
      <c r="M236" s="54"/>
      <c r="N236" s="54"/>
    </row>
    <row r="237" spans="1:14" x14ac:dyDescent="0.3">
      <c r="A237" s="54"/>
      <c r="B237" s="54"/>
      <c r="C237" s="54"/>
      <c r="D237" s="54"/>
      <c r="E237" s="54"/>
      <c r="F237" s="54"/>
      <c r="G237" s="54"/>
      <c r="H237" s="54"/>
      <c r="I237" s="121"/>
      <c r="J237" s="54"/>
      <c r="K237" s="54"/>
      <c r="L237" s="54"/>
      <c r="M237" s="54"/>
      <c r="N237" s="54"/>
    </row>
    <row r="238" spans="1:14" x14ac:dyDescent="0.3">
      <c r="A238" s="54"/>
      <c r="B238" s="54"/>
      <c r="C238" s="54"/>
      <c r="D238" s="54"/>
      <c r="E238" s="54"/>
      <c r="F238" s="54"/>
      <c r="G238" s="54"/>
      <c r="H238" s="54"/>
      <c r="I238" s="121"/>
      <c r="J238" s="54"/>
      <c r="K238" s="54"/>
      <c r="L238" s="54"/>
      <c r="M238" s="54"/>
      <c r="N238" s="54"/>
    </row>
    <row r="239" spans="1:14" x14ac:dyDescent="0.3">
      <c r="A239" s="54"/>
      <c r="B239" s="54"/>
      <c r="C239" s="54"/>
      <c r="D239" s="54"/>
      <c r="E239" s="54"/>
      <c r="F239" s="54"/>
      <c r="G239" s="54"/>
      <c r="H239" s="54"/>
      <c r="I239" s="121"/>
      <c r="J239" s="54"/>
      <c r="K239" s="54"/>
      <c r="L239" s="54"/>
      <c r="M239" s="54"/>
      <c r="N239" s="54"/>
    </row>
    <row r="240" spans="1:14" x14ac:dyDescent="0.3">
      <c r="A240" s="54"/>
      <c r="B240" s="54"/>
      <c r="C240" s="54"/>
      <c r="D240" s="54"/>
      <c r="E240" s="54"/>
      <c r="F240" s="54"/>
      <c r="G240" s="54"/>
      <c r="H240" s="54"/>
      <c r="I240" s="121"/>
      <c r="J240" s="54"/>
      <c r="K240" s="54"/>
      <c r="L240" s="54"/>
      <c r="M240" s="54"/>
      <c r="N240" s="54"/>
    </row>
    <row r="241" spans="1:14" x14ac:dyDescent="0.3">
      <c r="A241" s="54"/>
      <c r="B241" s="54"/>
      <c r="C241" s="54"/>
      <c r="D241" s="54"/>
      <c r="E241" s="54"/>
      <c r="F241" s="54"/>
      <c r="G241" s="54"/>
      <c r="H241" s="54"/>
      <c r="I241" s="121"/>
      <c r="J241" s="54"/>
      <c r="K241" s="54"/>
      <c r="L241" s="54"/>
      <c r="M241" s="54"/>
      <c r="N241" s="54"/>
    </row>
    <row r="242" spans="1:14" x14ac:dyDescent="0.3">
      <c r="A242" s="54"/>
      <c r="B242" s="54"/>
      <c r="C242" s="54"/>
      <c r="D242" s="54"/>
      <c r="E242" s="54"/>
      <c r="F242" s="54"/>
      <c r="G242" s="54"/>
      <c r="H242" s="54"/>
      <c r="I242" s="121"/>
      <c r="J242" s="54"/>
      <c r="K242" s="54"/>
      <c r="L242" s="54"/>
      <c r="M242" s="54"/>
      <c r="N242" s="54"/>
    </row>
    <row r="243" spans="1:14" x14ac:dyDescent="0.3">
      <c r="A243" s="54"/>
      <c r="B243" s="54"/>
      <c r="C243" s="54"/>
      <c r="D243" s="54"/>
      <c r="E243" s="54"/>
      <c r="F243" s="54"/>
      <c r="G243" s="54"/>
      <c r="H243" s="54"/>
      <c r="I243" s="121"/>
      <c r="J243" s="54"/>
      <c r="K243" s="54"/>
      <c r="L243" s="54"/>
      <c r="M243" s="54"/>
      <c r="N243" s="54"/>
    </row>
    <row r="244" spans="1:14" x14ac:dyDescent="0.3">
      <c r="A244" s="54"/>
      <c r="B244" s="54"/>
      <c r="C244" s="54"/>
      <c r="D244" s="54"/>
      <c r="E244" s="54"/>
      <c r="F244" s="54"/>
      <c r="G244" s="54"/>
      <c r="H244" s="54"/>
      <c r="I244" s="121"/>
      <c r="J244" s="54"/>
      <c r="K244" s="54"/>
      <c r="L244" s="54"/>
      <c r="M244" s="54"/>
      <c r="N244" s="54"/>
    </row>
    <row r="245" spans="1:14" x14ac:dyDescent="0.3">
      <c r="A245" s="54"/>
      <c r="B245" s="54"/>
      <c r="C245" s="54"/>
      <c r="D245" s="54"/>
      <c r="E245" s="54"/>
      <c r="F245" s="54"/>
      <c r="G245" s="54"/>
      <c r="H245" s="54"/>
      <c r="I245" s="121"/>
      <c r="J245" s="54"/>
      <c r="K245" s="54"/>
      <c r="L245" s="54"/>
      <c r="M245" s="54"/>
      <c r="N245" s="54"/>
    </row>
    <row r="246" spans="1:14" x14ac:dyDescent="0.3">
      <c r="A246" s="54"/>
      <c r="B246" s="54"/>
      <c r="C246" s="54"/>
      <c r="D246" s="54"/>
      <c r="E246" s="54"/>
      <c r="F246" s="54"/>
      <c r="G246" s="54"/>
      <c r="H246" s="54"/>
      <c r="I246" s="121"/>
      <c r="J246" s="54"/>
      <c r="K246" s="54"/>
      <c r="L246" s="54"/>
      <c r="M246" s="54"/>
      <c r="N246" s="54"/>
    </row>
    <row r="247" spans="1:14" x14ac:dyDescent="0.3">
      <c r="A247" s="54"/>
      <c r="B247" s="54"/>
      <c r="C247" s="54"/>
      <c r="D247" s="54"/>
      <c r="E247" s="54"/>
      <c r="F247" s="54"/>
      <c r="G247" s="54"/>
      <c r="H247" s="54"/>
      <c r="I247" s="121"/>
      <c r="J247" s="54"/>
      <c r="K247" s="54"/>
      <c r="L247" s="54"/>
      <c r="M247" s="54"/>
      <c r="N247" s="54"/>
    </row>
    <row r="248" spans="1:14" x14ac:dyDescent="0.3">
      <c r="A248" s="54"/>
      <c r="B248" s="54"/>
      <c r="C248" s="54"/>
      <c r="D248" s="54"/>
      <c r="E248" s="54"/>
      <c r="F248" s="54"/>
      <c r="G248" s="54"/>
      <c r="H248" s="54"/>
      <c r="I248" s="121"/>
      <c r="J248" s="54"/>
      <c r="K248" s="54"/>
      <c r="L248" s="54"/>
      <c r="M248" s="54"/>
      <c r="N248" s="54"/>
    </row>
    <row r="249" spans="1:14" x14ac:dyDescent="0.3">
      <c r="A249" s="54"/>
      <c r="B249" s="54"/>
      <c r="C249" s="54"/>
      <c r="D249" s="54"/>
      <c r="E249" s="54"/>
      <c r="F249" s="54"/>
      <c r="G249" s="54"/>
      <c r="H249" s="54"/>
      <c r="I249" s="121"/>
      <c r="J249" s="54"/>
      <c r="K249" s="54"/>
      <c r="L249" s="54"/>
      <c r="M249" s="54"/>
      <c r="N249" s="54"/>
    </row>
    <row r="250" spans="1:14" x14ac:dyDescent="0.3">
      <c r="A250" s="54"/>
      <c r="B250" s="54"/>
      <c r="C250" s="54"/>
      <c r="D250" s="54"/>
      <c r="E250" s="54"/>
      <c r="F250" s="54"/>
      <c r="G250" s="54"/>
      <c r="H250" s="54"/>
      <c r="I250" s="121"/>
      <c r="J250" s="54"/>
      <c r="K250" s="54"/>
      <c r="L250" s="54"/>
      <c r="M250" s="54"/>
      <c r="N250" s="54"/>
    </row>
    <row r="251" spans="1:14" x14ac:dyDescent="0.3">
      <c r="A251" s="54"/>
      <c r="B251" s="54"/>
      <c r="C251" s="54"/>
      <c r="D251" s="54"/>
      <c r="E251" s="54"/>
      <c r="F251" s="54"/>
      <c r="G251" s="54"/>
      <c r="H251" s="54"/>
      <c r="I251" s="121"/>
      <c r="J251" s="54"/>
      <c r="K251" s="54"/>
      <c r="L251" s="54"/>
      <c r="M251" s="54"/>
      <c r="N251" s="54"/>
    </row>
    <row r="252" spans="1:14" x14ac:dyDescent="0.3">
      <c r="A252" s="54"/>
      <c r="B252" s="54"/>
      <c r="C252" s="54"/>
      <c r="D252" s="54"/>
      <c r="E252" s="54"/>
      <c r="F252" s="54"/>
      <c r="G252" s="54"/>
      <c r="H252" s="54"/>
      <c r="I252" s="121"/>
      <c r="J252" s="54"/>
      <c r="K252" s="54"/>
      <c r="L252" s="54"/>
      <c r="M252" s="54"/>
      <c r="N252" s="54"/>
    </row>
    <row r="253" spans="1:14" x14ac:dyDescent="0.3">
      <c r="A253" s="54"/>
      <c r="B253" s="54"/>
      <c r="C253" s="54"/>
      <c r="D253" s="54"/>
      <c r="E253" s="54"/>
      <c r="F253" s="54"/>
      <c r="G253" s="54"/>
      <c r="H253" s="54"/>
      <c r="I253" s="121"/>
      <c r="J253" s="54"/>
      <c r="K253" s="54"/>
      <c r="L253" s="54"/>
      <c r="M253" s="54"/>
      <c r="N253" s="54"/>
    </row>
    <row r="254" spans="1:14" x14ac:dyDescent="0.3">
      <c r="A254" s="54"/>
      <c r="B254" s="54"/>
      <c r="C254" s="54"/>
      <c r="D254" s="54"/>
      <c r="E254" s="54"/>
      <c r="F254" s="54"/>
      <c r="G254" s="54"/>
      <c r="H254" s="54"/>
      <c r="I254" s="121"/>
      <c r="J254" s="54"/>
      <c r="K254" s="54"/>
      <c r="L254" s="54"/>
      <c r="M254" s="54"/>
      <c r="N254" s="54"/>
    </row>
    <row r="255" spans="1:14" x14ac:dyDescent="0.3">
      <c r="A255" s="54"/>
      <c r="B255" s="54"/>
      <c r="C255" s="54"/>
      <c r="D255" s="54"/>
      <c r="E255" s="54"/>
      <c r="F255" s="54"/>
      <c r="G255" s="54"/>
      <c r="H255" s="54"/>
      <c r="I255" s="121"/>
      <c r="J255" s="54"/>
      <c r="K255" s="54"/>
      <c r="L255" s="54"/>
      <c r="M255" s="54"/>
      <c r="N255" s="54"/>
    </row>
    <row r="256" spans="1:14" x14ac:dyDescent="0.3">
      <c r="A256" s="54"/>
      <c r="B256" s="54"/>
      <c r="C256" s="54"/>
      <c r="D256" s="54"/>
      <c r="E256" s="54"/>
      <c r="F256" s="54"/>
      <c r="G256" s="54"/>
      <c r="H256" s="54"/>
      <c r="I256" s="121"/>
      <c r="J256" s="54"/>
      <c r="K256" s="54"/>
      <c r="L256" s="54"/>
      <c r="M256" s="54"/>
      <c r="N256" s="54"/>
    </row>
    <row r="257" spans="1:14" x14ac:dyDescent="0.3">
      <c r="A257" s="54"/>
      <c r="B257" s="54"/>
      <c r="C257" s="54"/>
      <c r="D257" s="54"/>
      <c r="E257" s="54"/>
      <c r="F257" s="54"/>
      <c r="G257" s="54"/>
      <c r="H257" s="54"/>
      <c r="I257" s="121"/>
      <c r="J257" s="54"/>
      <c r="K257" s="54"/>
      <c r="L257" s="54"/>
      <c r="M257" s="54"/>
      <c r="N257" s="54"/>
    </row>
    <row r="258" spans="1:14" x14ac:dyDescent="0.3">
      <c r="A258" s="54"/>
      <c r="B258" s="54"/>
      <c r="C258" s="54"/>
      <c r="D258" s="54"/>
      <c r="E258" s="54"/>
      <c r="F258" s="54"/>
      <c r="G258" s="54"/>
      <c r="H258" s="54"/>
      <c r="I258" s="121"/>
      <c r="J258" s="54"/>
      <c r="K258" s="54"/>
      <c r="L258" s="54"/>
      <c r="M258" s="54"/>
      <c r="N258" s="54"/>
    </row>
    <row r="259" spans="1:14" x14ac:dyDescent="0.3">
      <c r="A259" s="54"/>
      <c r="B259" s="54"/>
      <c r="C259" s="54"/>
      <c r="D259" s="54"/>
      <c r="E259" s="54"/>
      <c r="F259" s="54"/>
      <c r="G259" s="54"/>
      <c r="H259" s="54"/>
      <c r="I259" s="121"/>
      <c r="J259" s="54"/>
      <c r="K259" s="54"/>
      <c r="L259" s="54"/>
      <c r="M259" s="54"/>
      <c r="N259" s="54"/>
    </row>
    <row r="260" spans="1:14" x14ac:dyDescent="0.3">
      <c r="A260" s="54"/>
      <c r="B260" s="54"/>
      <c r="C260" s="54"/>
      <c r="D260" s="54"/>
      <c r="E260" s="54"/>
      <c r="F260" s="54"/>
      <c r="G260" s="54"/>
      <c r="H260" s="54"/>
      <c r="I260" s="121"/>
      <c r="J260" s="54"/>
      <c r="K260" s="54"/>
      <c r="L260" s="54"/>
      <c r="M260" s="54"/>
      <c r="N260" s="54"/>
    </row>
    <row r="261" spans="1:14" x14ac:dyDescent="0.3">
      <c r="A261" s="54"/>
      <c r="B261" s="54"/>
      <c r="C261" s="54"/>
      <c r="D261" s="54"/>
      <c r="E261" s="54"/>
      <c r="F261" s="54"/>
      <c r="G261" s="54"/>
      <c r="H261" s="54"/>
      <c r="I261" s="121"/>
      <c r="J261" s="54"/>
      <c r="K261" s="54"/>
      <c r="L261" s="54"/>
      <c r="M261" s="54"/>
      <c r="N261" s="54"/>
    </row>
    <row r="262" spans="1:14" x14ac:dyDescent="0.3">
      <c r="A262" s="54"/>
      <c r="B262" s="54"/>
      <c r="C262" s="54"/>
      <c r="D262" s="54"/>
      <c r="E262" s="54"/>
      <c r="F262" s="54"/>
      <c r="G262" s="54"/>
      <c r="H262" s="54"/>
      <c r="I262" s="121"/>
      <c r="J262" s="54"/>
      <c r="K262" s="54"/>
      <c r="L262" s="54"/>
      <c r="M262" s="54"/>
      <c r="N262" s="54"/>
    </row>
    <row r="263" spans="1:14" x14ac:dyDescent="0.3">
      <c r="A263" s="54"/>
      <c r="B263" s="54"/>
      <c r="C263" s="54"/>
      <c r="D263" s="54"/>
      <c r="E263" s="54"/>
      <c r="F263" s="54"/>
      <c r="G263" s="54"/>
      <c r="H263" s="54"/>
      <c r="I263" s="121"/>
      <c r="J263" s="54"/>
      <c r="K263" s="54"/>
      <c r="L263" s="54"/>
      <c r="M263" s="54"/>
      <c r="N263" s="54"/>
    </row>
    <row r="264" spans="1:14" x14ac:dyDescent="0.3">
      <c r="A264" s="54"/>
      <c r="B264" s="54"/>
      <c r="C264" s="54"/>
      <c r="D264" s="54"/>
      <c r="E264" s="54"/>
      <c r="F264" s="54"/>
      <c r="G264" s="54"/>
      <c r="H264" s="54"/>
      <c r="I264" s="121"/>
      <c r="J264" s="54"/>
      <c r="K264" s="54"/>
      <c r="L264" s="54"/>
      <c r="M264" s="54"/>
      <c r="N264" s="54"/>
    </row>
    <row r="265" spans="1:14" x14ac:dyDescent="0.3">
      <c r="A265" s="54"/>
      <c r="B265" s="54"/>
      <c r="C265" s="54"/>
      <c r="D265" s="54"/>
      <c r="E265" s="54"/>
      <c r="F265" s="54"/>
      <c r="G265" s="54"/>
      <c r="H265" s="54"/>
      <c r="I265" s="121"/>
      <c r="J265" s="54"/>
      <c r="K265" s="54"/>
      <c r="L265" s="54"/>
      <c r="M265" s="54"/>
      <c r="N265" s="54"/>
    </row>
    <row r="266" spans="1:14" x14ac:dyDescent="0.3">
      <c r="A266" s="54"/>
      <c r="B266" s="54"/>
      <c r="C266" s="54"/>
      <c r="D266" s="54"/>
      <c r="E266" s="54"/>
      <c r="F266" s="54"/>
      <c r="G266" s="54"/>
      <c r="H266" s="54"/>
      <c r="I266" s="121"/>
      <c r="J266" s="54"/>
      <c r="K266" s="54"/>
      <c r="L266" s="54"/>
      <c r="M266" s="54"/>
      <c r="N266" s="54"/>
    </row>
    <row r="267" spans="1:14" x14ac:dyDescent="0.3">
      <c r="A267" s="54"/>
      <c r="B267" s="54"/>
      <c r="C267" s="54"/>
      <c r="D267" s="54"/>
      <c r="E267" s="54"/>
      <c r="F267" s="54"/>
      <c r="G267" s="54"/>
      <c r="H267" s="54"/>
      <c r="I267" s="121"/>
      <c r="J267" s="54"/>
      <c r="K267" s="54"/>
      <c r="L267" s="54"/>
      <c r="M267" s="54"/>
      <c r="N267" s="54"/>
    </row>
    <row r="268" spans="1:14" x14ac:dyDescent="0.3">
      <c r="A268" s="54"/>
      <c r="B268" s="54"/>
      <c r="C268" s="54"/>
      <c r="D268" s="54"/>
      <c r="E268" s="54"/>
      <c r="F268" s="54"/>
      <c r="G268" s="54"/>
      <c r="H268" s="54"/>
      <c r="I268" s="121"/>
      <c r="J268" s="54"/>
      <c r="K268" s="54"/>
      <c r="L268" s="54"/>
      <c r="M268" s="54"/>
      <c r="N268" s="54"/>
    </row>
    <row r="269" spans="1:14" x14ac:dyDescent="0.3">
      <c r="A269" s="54"/>
      <c r="B269" s="54"/>
      <c r="C269" s="54"/>
      <c r="D269" s="54"/>
      <c r="E269" s="54"/>
      <c r="F269" s="54"/>
      <c r="G269" s="54"/>
      <c r="H269" s="54"/>
      <c r="I269" s="121"/>
      <c r="J269" s="54"/>
      <c r="K269" s="54"/>
      <c r="L269" s="54"/>
      <c r="M269" s="54"/>
      <c r="N269" s="54"/>
    </row>
    <row r="270" spans="1:14" x14ac:dyDescent="0.3">
      <c r="A270" s="54"/>
      <c r="B270" s="54"/>
      <c r="C270" s="54"/>
      <c r="D270" s="54"/>
      <c r="E270" s="54"/>
      <c r="F270" s="54"/>
      <c r="G270" s="54"/>
      <c r="H270" s="54"/>
      <c r="I270" s="121"/>
      <c r="J270" s="54"/>
      <c r="K270" s="54"/>
      <c r="L270" s="54"/>
      <c r="M270" s="54"/>
      <c r="N270" s="54"/>
    </row>
    <row r="271" spans="1:14" x14ac:dyDescent="0.3">
      <c r="A271" s="54"/>
      <c r="B271" s="54"/>
      <c r="C271" s="54"/>
      <c r="D271" s="54"/>
      <c r="E271" s="54"/>
      <c r="F271" s="54"/>
      <c r="G271" s="54"/>
      <c r="H271" s="54"/>
      <c r="I271" s="121"/>
      <c r="J271" s="54"/>
      <c r="K271" s="54"/>
      <c r="L271" s="54"/>
      <c r="M271" s="54"/>
      <c r="N271" s="54"/>
    </row>
    <row r="272" spans="1:14" x14ac:dyDescent="0.3">
      <c r="A272" s="54"/>
      <c r="B272" s="54"/>
      <c r="C272" s="54"/>
      <c r="D272" s="54"/>
      <c r="E272" s="54"/>
      <c r="F272" s="54"/>
      <c r="G272" s="54"/>
      <c r="H272" s="54"/>
      <c r="I272" s="121"/>
      <c r="J272" s="54"/>
      <c r="K272" s="54"/>
      <c r="L272" s="54"/>
      <c r="M272" s="54"/>
      <c r="N272" s="54"/>
    </row>
    <row r="273" spans="1:14" x14ac:dyDescent="0.3">
      <c r="A273" s="54"/>
      <c r="B273" s="54"/>
      <c r="C273" s="54"/>
      <c r="D273" s="54"/>
      <c r="E273" s="54"/>
      <c r="F273" s="54"/>
      <c r="G273" s="54"/>
      <c r="H273" s="54"/>
      <c r="I273" s="121"/>
      <c r="J273" s="54"/>
      <c r="K273" s="54"/>
      <c r="L273" s="54"/>
      <c r="M273" s="54"/>
      <c r="N273" s="54"/>
    </row>
    <row r="274" spans="1:14" x14ac:dyDescent="0.3">
      <c r="A274" s="54"/>
      <c r="B274" s="54"/>
      <c r="C274" s="54"/>
      <c r="D274" s="54"/>
      <c r="E274" s="54"/>
      <c r="F274" s="54"/>
      <c r="G274" s="54"/>
      <c r="H274" s="54"/>
      <c r="I274" s="121"/>
      <c r="J274" s="54"/>
      <c r="K274" s="54"/>
      <c r="L274" s="54"/>
      <c r="M274" s="54"/>
      <c r="N274" s="54"/>
    </row>
    <row r="275" spans="1:14" x14ac:dyDescent="0.3">
      <c r="A275" s="54"/>
      <c r="B275" s="54"/>
      <c r="C275" s="54"/>
      <c r="D275" s="54"/>
      <c r="E275" s="54"/>
      <c r="F275" s="54"/>
      <c r="G275" s="54"/>
      <c r="H275" s="54"/>
      <c r="I275" s="121"/>
      <c r="J275" s="54"/>
      <c r="K275" s="54"/>
      <c r="L275" s="54"/>
      <c r="M275" s="54"/>
      <c r="N275" s="54"/>
    </row>
    <row r="276" spans="1:14" x14ac:dyDescent="0.3">
      <c r="A276" s="54"/>
      <c r="B276" s="54"/>
      <c r="C276" s="54"/>
      <c r="D276" s="54"/>
      <c r="E276" s="54"/>
      <c r="F276" s="54"/>
      <c r="G276" s="54"/>
      <c r="H276" s="54"/>
      <c r="I276" s="121"/>
      <c r="J276" s="54"/>
      <c r="K276" s="54"/>
      <c r="L276" s="54"/>
      <c r="M276" s="54"/>
      <c r="N276" s="54"/>
    </row>
    <row r="277" spans="1:14" x14ac:dyDescent="0.3">
      <c r="A277" s="54"/>
      <c r="B277" s="54"/>
      <c r="C277" s="54"/>
      <c r="D277" s="54"/>
      <c r="E277" s="54"/>
      <c r="F277" s="54"/>
      <c r="G277" s="54"/>
      <c r="H277" s="54"/>
      <c r="I277" s="121"/>
      <c r="J277" s="54"/>
      <c r="K277" s="54"/>
      <c r="L277" s="54"/>
      <c r="M277" s="54"/>
      <c r="N277" s="54"/>
    </row>
    <row r="278" spans="1:14" x14ac:dyDescent="0.3">
      <c r="A278" s="54"/>
      <c r="B278" s="54"/>
      <c r="C278" s="54"/>
      <c r="D278" s="54"/>
      <c r="E278" s="54"/>
      <c r="F278" s="54"/>
      <c r="G278" s="54"/>
      <c r="H278" s="54"/>
      <c r="I278" s="121"/>
      <c r="J278" s="54"/>
      <c r="K278" s="54"/>
      <c r="L278" s="54"/>
      <c r="M278" s="54"/>
      <c r="N278" s="54"/>
    </row>
    <row r="279" spans="1:14" x14ac:dyDescent="0.3">
      <c r="A279" s="54"/>
      <c r="B279" s="54"/>
      <c r="C279" s="54"/>
      <c r="D279" s="54"/>
      <c r="E279" s="54"/>
      <c r="F279" s="54"/>
      <c r="G279" s="54"/>
      <c r="H279" s="54"/>
      <c r="I279" s="121"/>
      <c r="J279" s="54"/>
      <c r="K279" s="54"/>
      <c r="L279" s="54"/>
      <c r="M279" s="54"/>
      <c r="N279" s="54"/>
    </row>
    <row r="280" spans="1:14" x14ac:dyDescent="0.3">
      <c r="A280" s="54"/>
      <c r="B280" s="54"/>
      <c r="C280" s="54"/>
      <c r="D280" s="54"/>
      <c r="E280" s="54"/>
      <c r="F280" s="54"/>
      <c r="G280" s="54"/>
      <c r="H280" s="54"/>
      <c r="I280" s="121"/>
      <c r="J280" s="54"/>
      <c r="K280" s="54"/>
      <c r="L280" s="54"/>
      <c r="M280" s="54"/>
      <c r="N280" s="54"/>
    </row>
    <row r="281" spans="1:14" x14ac:dyDescent="0.3">
      <c r="A281" s="54"/>
      <c r="B281" s="54"/>
      <c r="C281" s="54"/>
      <c r="D281" s="54"/>
      <c r="E281" s="54"/>
      <c r="F281" s="54"/>
      <c r="G281" s="54"/>
      <c r="H281" s="54"/>
      <c r="I281" s="121"/>
      <c r="J281" s="54"/>
      <c r="K281" s="54"/>
      <c r="L281" s="54"/>
      <c r="M281" s="54"/>
      <c r="N281" s="54"/>
    </row>
    <row r="282" spans="1:14" x14ac:dyDescent="0.3">
      <c r="A282" s="54"/>
      <c r="B282" s="54"/>
      <c r="C282" s="54"/>
      <c r="D282" s="54"/>
      <c r="E282" s="54"/>
      <c r="F282" s="54"/>
      <c r="G282" s="54"/>
      <c r="H282" s="54"/>
      <c r="I282" s="121"/>
      <c r="J282" s="54"/>
      <c r="K282" s="54"/>
      <c r="L282" s="54"/>
      <c r="M282" s="54"/>
      <c r="N282" s="54"/>
    </row>
    <row r="283" spans="1:14" x14ac:dyDescent="0.3">
      <c r="A283" s="54"/>
      <c r="B283" s="54"/>
      <c r="C283" s="54"/>
      <c r="D283" s="54"/>
      <c r="E283" s="54"/>
      <c r="F283" s="54"/>
      <c r="G283" s="54"/>
      <c r="H283" s="54"/>
      <c r="I283" s="121"/>
      <c r="J283" s="54"/>
      <c r="K283" s="54"/>
      <c r="L283" s="54"/>
      <c r="M283" s="54"/>
      <c r="N283" s="54"/>
    </row>
    <row r="284" spans="1:14" x14ac:dyDescent="0.3">
      <c r="A284" s="54"/>
      <c r="B284" s="54"/>
      <c r="C284" s="54"/>
      <c r="D284" s="54"/>
      <c r="E284" s="54"/>
      <c r="F284" s="54"/>
      <c r="G284" s="54"/>
      <c r="H284" s="54"/>
      <c r="I284" s="121"/>
      <c r="J284" s="54"/>
      <c r="K284" s="54"/>
      <c r="L284" s="54"/>
      <c r="M284" s="54"/>
      <c r="N284" s="54"/>
    </row>
    <row r="285" spans="1:14" x14ac:dyDescent="0.3">
      <c r="A285" s="54"/>
      <c r="B285" s="54"/>
      <c r="C285" s="54"/>
      <c r="D285" s="54"/>
      <c r="E285" s="54"/>
      <c r="F285" s="54"/>
      <c r="G285" s="54"/>
      <c r="H285" s="54"/>
      <c r="I285" s="121"/>
      <c r="J285" s="54"/>
      <c r="K285" s="54"/>
      <c r="L285" s="54"/>
      <c r="M285" s="54"/>
      <c r="N285" s="54"/>
    </row>
    <row r="286" spans="1:14" x14ac:dyDescent="0.3">
      <c r="A286" s="54"/>
      <c r="B286" s="54"/>
      <c r="C286" s="54"/>
      <c r="D286" s="54"/>
      <c r="E286" s="54"/>
      <c r="F286" s="54"/>
      <c r="G286" s="54"/>
      <c r="H286" s="54"/>
      <c r="I286" s="121"/>
      <c r="J286" s="54"/>
      <c r="K286" s="54"/>
      <c r="L286" s="54"/>
      <c r="M286" s="54"/>
      <c r="N286" s="54"/>
    </row>
    <row r="287" spans="1:14" x14ac:dyDescent="0.3">
      <c r="A287" s="54"/>
      <c r="B287" s="54"/>
      <c r="C287" s="54"/>
      <c r="D287" s="54"/>
      <c r="E287" s="54"/>
      <c r="F287" s="54"/>
      <c r="G287" s="54"/>
      <c r="H287" s="54"/>
      <c r="I287" s="121"/>
      <c r="J287" s="54"/>
      <c r="K287" s="54"/>
      <c r="L287" s="54"/>
      <c r="M287" s="54"/>
      <c r="N287" s="54"/>
    </row>
    <row r="288" spans="1:14" x14ac:dyDescent="0.3">
      <c r="A288" s="54"/>
      <c r="B288" s="54"/>
      <c r="C288" s="54"/>
      <c r="D288" s="54"/>
      <c r="E288" s="54"/>
      <c r="F288" s="54"/>
      <c r="G288" s="54"/>
      <c r="H288" s="54"/>
      <c r="I288" s="121"/>
      <c r="J288" s="54"/>
      <c r="K288" s="54"/>
      <c r="L288" s="54"/>
      <c r="M288" s="54"/>
      <c r="N288" s="54"/>
    </row>
    <row r="289" spans="1:14" x14ac:dyDescent="0.3">
      <c r="A289" s="54"/>
      <c r="B289" s="54"/>
      <c r="C289" s="54"/>
      <c r="D289" s="54"/>
      <c r="E289" s="54"/>
      <c r="F289" s="54"/>
      <c r="G289" s="54"/>
      <c r="H289" s="54"/>
      <c r="I289" s="121"/>
      <c r="J289" s="54"/>
      <c r="K289" s="54"/>
      <c r="L289" s="54"/>
      <c r="M289" s="54"/>
      <c r="N289" s="54"/>
    </row>
    <row r="290" spans="1:14" x14ac:dyDescent="0.3">
      <c r="A290" s="54"/>
      <c r="B290" s="54"/>
      <c r="C290" s="54"/>
      <c r="D290" s="54"/>
      <c r="E290" s="54"/>
      <c r="F290" s="54"/>
      <c r="G290" s="54"/>
      <c r="H290" s="54"/>
      <c r="I290" s="121"/>
      <c r="J290" s="54"/>
      <c r="K290" s="54"/>
      <c r="L290" s="54"/>
      <c r="M290" s="54"/>
      <c r="N290" s="54"/>
    </row>
    <row r="291" spans="1:14" x14ac:dyDescent="0.3">
      <c r="A291" s="54"/>
      <c r="B291" s="54"/>
      <c r="C291" s="54"/>
      <c r="D291" s="54"/>
      <c r="E291" s="54"/>
      <c r="F291" s="54"/>
      <c r="G291" s="54"/>
      <c r="H291" s="54"/>
      <c r="I291" s="121"/>
      <c r="J291" s="54"/>
      <c r="K291" s="54"/>
      <c r="L291" s="54"/>
      <c r="M291" s="54"/>
      <c r="N291" s="54"/>
    </row>
    <row r="292" spans="1:14" x14ac:dyDescent="0.3">
      <c r="A292" s="54"/>
      <c r="B292" s="54"/>
      <c r="C292" s="54"/>
      <c r="D292" s="54"/>
      <c r="E292" s="54"/>
      <c r="F292" s="54"/>
      <c r="G292" s="54"/>
      <c r="H292" s="54"/>
      <c r="I292" s="121"/>
      <c r="J292" s="54"/>
      <c r="K292" s="54"/>
      <c r="L292" s="54"/>
      <c r="M292" s="54"/>
      <c r="N292" s="54"/>
    </row>
    <row r="293" spans="1:14" x14ac:dyDescent="0.3">
      <c r="A293" s="54"/>
      <c r="B293" s="54"/>
      <c r="C293" s="54"/>
      <c r="D293" s="54"/>
      <c r="E293" s="54"/>
      <c r="F293" s="54"/>
      <c r="G293" s="54"/>
      <c r="H293" s="54"/>
      <c r="I293" s="121"/>
      <c r="J293" s="54"/>
      <c r="K293" s="54"/>
      <c r="L293" s="54"/>
      <c r="M293" s="54"/>
      <c r="N293" s="54"/>
    </row>
    <row r="294" spans="1:14" x14ac:dyDescent="0.3">
      <c r="A294" s="54"/>
      <c r="B294" s="54"/>
      <c r="C294" s="54"/>
      <c r="D294" s="54"/>
      <c r="E294" s="54"/>
      <c r="F294" s="54"/>
      <c r="G294" s="54"/>
      <c r="H294" s="54"/>
      <c r="I294" s="121"/>
      <c r="J294" s="54"/>
      <c r="K294" s="54"/>
      <c r="L294" s="54"/>
      <c r="M294" s="54"/>
      <c r="N294" s="54"/>
    </row>
    <row r="295" spans="1:14" x14ac:dyDescent="0.3">
      <c r="A295" s="54"/>
      <c r="B295" s="54"/>
      <c r="C295" s="54"/>
      <c r="D295" s="54"/>
      <c r="E295" s="54"/>
      <c r="F295" s="54"/>
      <c r="G295" s="54"/>
      <c r="H295" s="54"/>
      <c r="I295" s="121"/>
      <c r="J295" s="54"/>
      <c r="K295" s="54"/>
      <c r="L295" s="54"/>
      <c r="M295" s="54"/>
      <c r="N295" s="54"/>
    </row>
    <row r="296" spans="1:14" x14ac:dyDescent="0.3">
      <c r="A296" s="54"/>
      <c r="B296" s="54"/>
      <c r="C296" s="54"/>
      <c r="D296" s="54"/>
      <c r="E296" s="54"/>
      <c r="F296" s="54"/>
      <c r="G296" s="54"/>
      <c r="H296" s="54"/>
      <c r="I296" s="121"/>
      <c r="J296" s="54"/>
      <c r="K296" s="54"/>
      <c r="L296" s="54"/>
      <c r="M296" s="54"/>
      <c r="N296" s="54"/>
    </row>
    <row r="297" spans="1:14" x14ac:dyDescent="0.3">
      <c r="A297" s="54"/>
      <c r="B297" s="54"/>
      <c r="C297" s="54"/>
      <c r="D297" s="54"/>
      <c r="E297" s="54"/>
      <c r="F297" s="54"/>
      <c r="G297" s="54"/>
      <c r="H297" s="54"/>
      <c r="I297" s="121"/>
      <c r="J297" s="54"/>
      <c r="K297" s="54"/>
      <c r="L297" s="54"/>
      <c r="M297" s="54"/>
      <c r="N297" s="54"/>
    </row>
    <row r="298" spans="1:14" x14ac:dyDescent="0.3">
      <c r="A298" s="54"/>
      <c r="B298" s="54"/>
      <c r="C298" s="54"/>
      <c r="D298" s="54"/>
      <c r="E298" s="54"/>
      <c r="F298" s="54"/>
      <c r="G298" s="54"/>
      <c r="H298" s="54"/>
      <c r="I298" s="121"/>
      <c r="J298" s="54"/>
      <c r="K298" s="54"/>
      <c r="L298" s="54"/>
      <c r="M298" s="54"/>
      <c r="N298" s="54"/>
    </row>
    <row r="299" spans="1:14" x14ac:dyDescent="0.3">
      <c r="A299" s="54"/>
      <c r="B299" s="54"/>
      <c r="C299" s="54"/>
      <c r="D299" s="54"/>
      <c r="E299" s="54"/>
      <c r="F299" s="54"/>
      <c r="G299" s="54"/>
      <c r="H299" s="54"/>
      <c r="I299" s="121"/>
      <c r="J299" s="54"/>
      <c r="K299" s="54"/>
      <c r="L299" s="54"/>
      <c r="M299" s="54"/>
      <c r="N299" s="54"/>
    </row>
    <row r="300" spans="1:14" x14ac:dyDescent="0.3">
      <c r="A300" s="54"/>
      <c r="B300" s="54"/>
      <c r="C300" s="54"/>
      <c r="D300" s="54"/>
      <c r="E300" s="54"/>
      <c r="F300" s="54"/>
      <c r="G300" s="54"/>
      <c r="H300" s="54"/>
      <c r="I300" s="121"/>
      <c r="J300" s="54"/>
      <c r="K300" s="54"/>
      <c r="L300" s="54"/>
      <c r="M300" s="54"/>
      <c r="N300" s="54"/>
    </row>
    <row r="301" spans="1:14" x14ac:dyDescent="0.3">
      <c r="A301" s="54"/>
      <c r="B301" s="54"/>
      <c r="C301" s="54"/>
      <c r="D301" s="54"/>
      <c r="E301" s="54"/>
      <c r="F301" s="54"/>
      <c r="G301" s="54"/>
      <c r="H301" s="54"/>
      <c r="I301" s="121"/>
      <c r="J301" s="54"/>
      <c r="K301" s="54"/>
      <c r="L301" s="54"/>
      <c r="M301" s="54"/>
      <c r="N301" s="54"/>
    </row>
    <row r="302" spans="1:14" x14ac:dyDescent="0.3">
      <c r="A302" s="54"/>
      <c r="B302" s="54"/>
      <c r="C302" s="54"/>
      <c r="D302" s="54"/>
      <c r="E302" s="54"/>
      <c r="F302" s="54"/>
      <c r="G302" s="54"/>
      <c r="H302" s="54"/>
      <c r="I302" s="121"/>
      <c r="J302" s="54"/>
      <c r="K302" s="54"/>
      <c r="L302" s="54"/>
      <c r="M302" s="54"/>
      <c r="N302" s="54"/>
    </row>
    <row r="303" spans="1:14" x14ac:dyDescent="0.3">
      <c r="A303" s="54"/>
      <c r="B303" s="54"/>
      <c r="C303" s="54"/>
      <c r="D303" s="54"/>
      <c r="E303" s="54"/>
      <c r="F303" s="54"/>
      <c r="G303" s="54"/>
      <c r="H303" s="54"/>
      <c r="I303" s="121"/>
      <c r="J303" s="54"/>
      <c r="K303" s="54"/>
      <c r="L303" s="54"/>
      <c r="M303" s="54"/>
      <c r="N303" s="54"/>
    </row>
    <row r="304" spans="1:14" x14ac:dyDescent="0.3">
      <c r="A304" s="54"/>
      <c r="B304" s="54"/>
      <c r="C304" s="54"/>
      <c r="D304" s="54"/>
      <c r="E304" s="54"/>
      <c r="F304" s="54"/>
      <c r="G304" s="54"/>
      <c r="H304" s="54"/>
      <c r="I304" s="121"/>
      <c r="J304" s="54"/>
      <c r="K304" s="54"/>
      <c r="L304" s="54"/>
      <c r="M304" s="54"/>
      <c r="N304" s="54"/>
    </row>
    <row r="305" spans="1:14" x14ac:dyDescent="0.3">
      <c r="A305" s="54"/>
      <c r="B305" s="54"/>
      <c r="C305" s="54"/>
      <c r="D305" s="54"/>
      <c r="E305" s="54"/>
      <c r="F305" s="54"/>
      <c r="G305" s="54"/>
      <c r="H305" s="54"/>
      <c r="I305" s="121"/>
      <c r="J305" s="54"/>
      <c r="K305" s="54"/>
      <c r="L305" s="54"/>
      <c r="M305" s="54"/>
      <c r="N305" s="54"/>
    </row>
    <row r="306" spans="1:14" x14ac:dyDescent="0.3">
      <c r="A306" s="54"/>
      <c r="B306" s="54"/>
      <c r="C306" s="54"/>
      <c r="D306" s="54"/>
      <c r="E306" s="54"/>
      <c r="F306" s="54"/>
      <c r="G306" s="54"/>
      <c r="H306" s="54"/>
      <c r="I306" s="121"/>
      <c r="J306" s="54"/>
      <c r="K306" s="54"/>
      <c r="L306" s="54"/>
      <c r="M306" s="54"/>
      <c r="N306" s="54"/>
    </row>
    <row r="307" spans="1:14" x14ac:dyDescent="0.3">
      <c r="A307" s="54"/>
      <c r="B307" s="54"/>
      <c r="C307" s="54"/>
      <c r="D307" s="54"/>
      <c r="E307" s="54"/>
      <c r="F307" s="54"/>
      <c r="G307" s="54"/>
      <c r="H307" s="54"/>
      <c r="I307" s="121"/>
      <c r="J307" s="54"/>
      <c r="K307" s="54"/>
      <c r="L307" s="54"/>
      <c r="M307" s="54"/>
      <c r="N307" s="54"/>
    </row>
    <row r="308" spans="1:14" x14ac:dyDescent="0.3">
      <c r="A308" s="54"/>
      <c r="B308" s="54"/>
      <c r="C308" s="54"/>
      <c r="D308" s="54"/>
      <c r="E308" s="54"/>
      <c r="F308" s="54"/>
      <c r="G308" s="54"/>
      <c r="H308" s="54"/>
      <c r="I308" s="121"/>
      <c r="J308" s="54"/>
      <c r="K308" s="54"/>
      <c r="L308" s="54"/>
      <c r="M308" s="54"/>
      <c r="N308" s="54"/>
    </row>
    <row r="309" spans="1:14" x14ac:dyDescent="0.3">
      <c r="A309" s="54"/>
      <c r="B309" s="54"/>
      <c r="C309" s="54"/>
      <c r="D309" s="54"/>
      <c r="E309" s="54"/>
      <c r="F309" s="54"/>
      <c r="G309" s="54"/>
      <c r="H309" s="54"/>
      <c r="I309" s="121"/>
      <c r="J309" s="54"/>
      <c r="K309" s="54"/>
      <c r="L309" s="54"/>
      <c r="M309" s="54"/>
      <c r="N309" s="54"/>
    </row>
    <row r="310" spans="1:14" x14ac:dyDescent="0.3">
      <c r="A310" s="54"/>
      <c r="B310" s="54"/>
      <c r="C310" s="54"/>
      <c r="D310" s="54"/>
      <c r="E310" s="54"/>
      <c r="F310" s="54"/>
      <c r="G310" s="54"/>
      <c r="H310" s="54"/>
      <c r="I310" s="121"/>
      <c r="J310" s="54"/>
      <c r="K310" s="54"/>
      <c r="L310" s="54"/>
      <c r="M310" s="54"/>
      <c r="N310" s="54"/>
    </row>
    <row r="311" spans="1:14" x14ac:dyDescent="0.3">
      <c r="A311" s="54"/>
      <c r="B311" s="54"/>
      <c r="C311" s="54"/>
      <c r="D311" s="54"/>
      <c r="E311" s="54"/>
      <c r="F311" s="54"/>
      <c r="G311" s="54"/>
      <c r="H311" s="54"/>
      <c r="I311" s="121"/>
      <c r="J311" s="54"/>
      <c r="K311" s="54"/>
      <c r="L311" s="54"/>
      <c r="M311" s="54"/>
      <c r="N311" s="54"/>
    </row>
    <row r="312" spans="1:14" x14ac:dyDescent="0.3">
      <c r="A312" s="54"/>
      <c r="B312" s="54"/>
      <c r="C312" s="54"/>
      <c r="D312" s="54"/>
      <c r="E312" s="54"/>
      <c r="F312" s="54"/>
      <c r="G312" s="54"/>
      <c r="H312" s="54"/>
      <c r="I312" s="121"/>
      <c r="J312" s="54"/>
      <c r="K312" s="54"/>
      <c r="L312" s="54"/>
      <c r="M312" s="54"/>
      <c r="N312" s="54"/>
    </row>
    <row r="313" spans="1:14" x14ac:dyDescent="0.3">
      <c r="A313" s="54"/>
      <c r="B313" s="54"/>
      <c r="C313" s="54"/>
      <c r="D313" s="54"/>
      <c r="E313" s="54"/>
      <c r="F313" s="54"/>
      <c r="G313" s="54"/>
      <c r="H313" s="54"/>
      <c r="I313" s="121"/>
      <c r="J313" s="54"/>
      <c r="K313" s="54"/>
      <c r="L313" s="54"/>
      <c r="M313" s="54"/>
      <c r="N313" s="54"/>
    </row>
    <row r="314" spans="1:14" x14ac:dyDescent="0.3">
      <c r="A314" s="54"/>
      <c r="B314" s="54"/>
      <c r="C314" s="54"/>
      <c r="D314" s="54"/>
      <c r="E314" s="54"/>
      <c r="F314" s="54"/>
      <c r="G314" s="54"/>
      <c r="H314" s="54"/>
      <c r="I314" s="121"/>
      <c r="J314" s="54"/>
      <c r="K314" s="54"/>
      <c r="L314" s="54"/>
      <c r="M314" s="54"/>
      <c r="N314" s="54"/>
    </row>
    <row r="315" spans="1:14" x14ac:dyDescent="0.3">
      <c r="A315" s="54"/>
      <c r="B315" s="54"/>
      <c r="C315" s="54"/>
      <c r="D315" s="54"/>
      <c r="E315" s="54"/>
      <c r="F315" s="54"/>
      <c r="G315" s="54"/>
      <c r="H315" s="54"/>
      <c r="I315" s="121"/>
      <c r="J315" s="54"/>
      <c r="K315" s="54"/>
      <c r="L315" s="54"/>
      <c r="M315" s="54"/>
      <c r="N315" s="54"/>
    </row>
    <row r="316" spans="1:14" x14ac:dyDescent="0.3">
      <c r="A316" s="54"/>
      <c r="B316" s="54"/>
      <c r="C316" s="54"/>
      <c r="D316" s="54"/>
      <c r="E316" s="54"/>
      <c r="F316" s="54"/>
      <c r="G316" s="54"/>
      <c r="H316" s="54"/>
      <c r="I316" s="121"/>
      <c r="J316" s="54"/>
      <c r="K316" s="54"/>
      <c r="L316" s="54"/>
      <c r="M316" s="54"/>
      <c r="N316" s="54"/>
    </row>
    <row r="317" spans="1:14" x14ac:dyDescent="0.3">
      <c r="A317" s="54"/>
      <c r="B317" s="54"/>
      <c r="C317" s="54"/>
      <c r="D317" s="54"/>
      <c r="E317" s="54"/>
      <c r="F317" s="54"/>
      <c r="G317" s="54"/>
      <c r="H317" s="54"/>
      <c r="I317" s="121"/>
      <c r="J317" s="54"/>
      <c r="K317" s="54"/>
      <c r="L317" s="54"/>
      <c r="M317" s="54"/>
      <c r="N317" s="54"/>
    </row>
    <row r="318" spans="1:14" x14ac:dyDescent="0.3">
      <c r="A318" s="54"/>
      <c r="B318" s="54"/>
      <c r="C318" s="54"/>
      <c r="D318" s="54"/>
      <c r="E318" s="54"/>
      <c r="F318" s="54"/>
      <c r="G318" s="54"/>
      <c r="H318" s="54"/>
      <c r="I318" s="121"/>
      <c r="J318" s="54"/>
      <c r="K318" s="54"/>
      <c r="L318" s="54"/>
      <c r="M318" s="54"/>
      <c r="N318" s="54"/>
    </row>
    <row r="319" spans="1:14" x14ac:dyDescent="0.3">
      <c r="A319" s="54"/>
      <c r="B319" s="54"/>
      <c r="C319" s="54"/>
      <c r="D319" s="54"/>
      <c r="E319" s="54"/>
      <c r="F319" s="54"/>
      <c r="G319" s="54"/>
      <c r="H319" s="54"/>
      <c r="I319" s="121"/>
      <c r="J319" s="54"/>
      <c r="K319" s="54"/>
      <c r="L319" s="54"/>
      <c r="M319" s="54"/>
      <c r="N319" s="54"/>
    </row>
    <row r="320" spans="1:14" x14ac:dyDescent="0.3">
      <c r="A320" s="54"/>
      <c r="B320" s="54"/>
      <c r="C320" s="54"/>
      <c r="D320" s="54"/>
      <c r="E320" s="54"/>
      <c r="F320" s="54"/>
      <c r="G320" s="54"/>
      <c r="H320" s="54"/>
      <c r="I320" s="121"/>
      <c r="J320" s="54"/>
      <c r="K320" s="54"/>
      <c r="L320" s="54"/>
      <c r="M320" s="54"/>
      <c r="N320" s="54"/>
    </row>
    <row r="321" spans="1:14" x14ac:dyDescent="0.3">
      <c r="A321" s="54"/>
      <c r="B321" s="54"/>
      <c r="C321" s="54"/>
      <c r="D321" s="54"/>
      <c r="E321" s="54"/>
      <c r="F321" s="54"/>
      <c r="G321" s="54"/>
      <c r="H321" s="54"/>
      <c r="I321" s="121"/>
      <c r="J321" s="54"/>
      <c r="K321" s="54"/>
      <c r="L321" s="54"/>
      <c r="M321" s="54"/>
      <c r="N321" s="54"/>
    </row>
    <row r="322" spans="1:14" x14ac:dyDescent="0.3">
      <c r="A322" s="54"/>
      <c r="B322" s="54"/>
      <c r="C322" s="54"/>
      <c r="D322" s="54"/>
      <c r="E322" s="54"/>
      <c r="F322" s="54"/>
      <c r="G322" s="54"/>
      <c r="H322" s="54"/>
      <c r="I322" s="121"/>
      <c r="J322" s="54"/>
      <c r="K322" s="54"/>
      <c r="L322" s="54"/>
      <c r="M322" s="54"/>
      <c r="N322" s="54"/>
    </row>
    <row r="323" spans="1:14" x14ac:dyDescent="0.3">
      <c r="A323" s="54"/>
      <c r="B323" s="54"/>
      <c r="C323" s="54"/>
      <c r="D323" s="54"/>
      <c r="E323" s="54"/>
      <c r="F323" s="54"/>
      <c r="G323" s="54"/>
      <c r="H323" s="54"/>
      <c r="I323" s="121"/>
      <c r="J323" s="54"/>
      <c r="K323" s="54"/>
      <c r="L323" s="54"/>
      <c r="M323" s="54"/>
      <c r="N323" s="54"/>
    </row>
    <row r="324" spans="1:14" x14ac:dyDescent="0.3">
      <c r="A324" s="54"/>
      <c r="B324" s="54"/>
      <c r="C324" s="54"/>
      <c r="D324" s="54"/>
      <c r="E324" s="54"/>
      <c r="F324" s="54"/>
      <c r="G324" s="54"/>
      <c r="H324" s="54"/>
      <c r="I324" s="121"/>
      <c r="J324" s="54"/>
      <c r="K324" s="54"/>
      <c r="L324" s="54"/>
      <c r="M324" s="54"/>
      <c r="N324" s="54"/>
    </row>
    <row r="325" spans="1:14" x14ac:dyDescent="0.3">
      <c r="A325" s="54"/>
      <c r="B325" s="54"/>
      <c r="C325" s="54"/>
      <c r="D325" s="54"/>
      <c r="E325" s="54"/>
      <c r="F325" s="54"/>
      <c r="G325" s="54"/>
      <c r="H325" s="54"/>
      <c r="I325" s="121"/>
      <c r="J325" s="54"/>
      <c r="K325" s="54"/>
      <c r="L325" s="54"/>
      <c r="M325" s="54"/>
      <c r="N325" s="54"/>
    </row>
    <row r="326" spans="1:14" x14ac:dyDescent="0.3">
      <c r="A326" s="54"/>
      <c r="B326" s="54"/>
      <c r="C326" s="54"/>
      <c r="D326" s="54"/>
      <c r="E326" s="54"/>
      <c r="F326" s="54"/>
      <c r="G326" s="54"/>
      <c r="H326" s="54"/>
      <c r="I326" s="121"/>
      <c r="J326" s="54"/>
      <c r="K326" s="54"/>
      <c r="L326" s="54"/>
      <c r="M326" s="54"/>
      <c r="N326" s="54"/>
    </row>
    <row r="327" spans="1:14" x14ac:dyDescent="0.3">
      <c r="A327" s="54"/>
      <c r="B327" s="54"/>
      <c r="C327" s="54"/>
      <c r="D327" s="54"/>
      <c r="E327" s="54"/>
      <c r="F327" s="54"/>
      <c r="G327" s="54"/>
      <c r="H327" s="54"/>
      <c r="I327" s="121"/>
      <c r="J327" s="54"/>
      <c r="K327" s="54"/>
      <c r="L327" s="54"/>
      <c r="M327" s="54"/>
      <c r="N327" s="54"/>
    </row>
    <row r="328" spans="1:14" x14ac:dyDescent="0.3">
      <c r="A328" s="54"/>
      <c r="B328" s="54"/>
      <c r="C328" s="54"/>
      <c r="D328" s="54"/>
      <c r="E328" s="54"/>
      <c r="F328" s="54"/>
      <c r="G328" s="54"/>
      <c r="H328" s="54"/>
      <c r="I328" s="121"/>
      <c r="J328" s="54"/>
      <c r="K328" s="54"/>
      <c r="L328" s="54"/>
      <c r="M328" s="54"/>
      <c r="N328" s="54"/>
    </row>
    <row r="329" spans="1:14" x14ac:dyDescent="0.3">
      <c r="A329" s="54"/>
      <c r="B329" s="54"/>
      <c r="C329" s="54"/>
      <c r="D329" s="54"/>
      <c r="E329" s="54"/>
      <c r="F329" s="54"/>
      <c r="G329" s="54"/>
      <c r="H329" s="54"/>
      <c r="I329" s="121"/>
      <c r="J329" s="54"/>
      <c r="K329" s="54"/>
      <c r="L329" s="54"/>
      <c r="M329" s="54"/>
      <c r="N329" s="54"/>
    </row>
    <row r="330" spans="1:14" x14ac:dyDescent="0.3">
      <c r="A330" s="54"/>
      <c r="B330" s="54"/>
      <c r="C330" s="54"/>
      <c r="D330" s="54"/>
      <c r="E330" s="54"/>
      <c r="F330" s="54"/>
      <c r="G330" s="54"/>
      <c r="H330" s="54"/>
      <c r="I330" s="121"/>
      <c r="J330" s="54"/>
      <c r="K330" s="54"/>
      <c r="L330" s="54"/>
      <c r="M330" s="54"/>
      <c r="N330" s="54"/>
    </row>
    <row r="331" spans="1:14" x14ac:dyDescent="0.3">
      <c r="A331" s="54"/>
      <c r="B331" s="54"/>
      <c r="C331" s="54"/>
      <c r="D331" s="54"/>
      <c r="E331" s="54"/>
      <c r="F331" s="54"/>
      <c r="G331" s="54"/>
      <c r="H331" s="54"/>
      <c r="I331" s="121"/>
      <c r="J331" s="54"/>
      <c r="K331" s="54"/>
      <c r="L331" s="54"/>
      <c r="M331" s="54"/>
      <c r="N331" s="54"/>
    </row>
    <row r="332" spans="1:14" x14ac:dyDescent="0.3">
      <c r="A332" s="54"/>
      <c r="B332" s="54"/>
      <c r="C332" s="54"/>
      <c r="D332" s="54"/>
      <c r="E332" s="54"/>
      <c r="F332" s="54"/>
      <c r="G332" s="54"/>
      <c r="H332" s="54"/>
      <c r="I332" s="121"/>
      <c r="J332" s="54"/>
      <c r="K332" s="54"/>
      <c r="L332" s="54"/>
      <c r="M332" s="54"/>
      <c r="N332" s="54"/>
    </row>
    <row r="333" spans="1:14" x14ac:dyDescent="0.3">
      <c r="A333" s="54"/>
      <c r="B333" s="54"/>
      <c r="C333" s="54"/>
      <c r="D333" s="54"/>
      <c r="E333" s="54"/>
      <c r="F333" s="54"/>
      <c r="G333" s="54"/>
      <c r="H333" s="54"/>
      <c r="I333" s="121"/>
      <c r="J333" s="54"/>
      <c r="K333" s="54"/>
      <c r="L333" s="54"/>
      <c r="M333" s="54"/>
      <c r="N333" s="54"/>
    </row>
    <row r="334" spans="1:14" x14ac:dyDescent="0.3">
      <c r="A334" s="54"/>
      <c r="B334" s="54"/>
      <c r="C334" s="54"/>
      <c r="D334" s="54"/>
      <c r="E334" s="54"/>
      <c r="F334" s="54"/>
      <c r="G334" s="54"/>
      <c r="H334" s="54"/>
      <c r="I334" s="121"/>
      <c r="J334" s="54"/>
      <c r="K334" s="54"/>
      <c r="L334" s="54"/>
      <c r="M334" s="54"/>
      <c r="N334" s="54"/>
    </row>
    <row r="335" spans="1:14" x14ac:dyDescent="0.3">
      <c r="A335" s="54"/>
      <c r="B335" s="54"/>
      <c r="C335" s="54"/>
      <c r="D335" s="54"/>
      <c r="E335" s="54"/>
      <c r="F335" s="54"/>
      <c r="G335" s="54"/>
      <c r="H335" s="54"/>
      <c r="I335" s="121"/>
      <c r="J335" s="54"/>
      <c r="K335" s="54"/>
      <c r="L335" s="54"/>
      <c r="M335" s="54"/>
      <c r="N335" s="54"/>
    </row>
    <row r="336" spans="1:14" x14ac:dyDescent="0.3">
      <c r="A336" s="54"/>
      <c r="B336" s="54"/>
      <c r="C336" s="54"/>
      <c r="D336" s="54"/>
      <c r="E336" s="54"/>
      <c r="F336" s="54"/>
      <c r="G336" s="54"/>
      <c r="H336" s="54"/>
      <c r="I336" s="121"/>
      <c r="J336" s="54"/>
      <c r="K336" s="54"/>
      <c r="L336" s="54"/>
      <c r="M336" s="54"/>
      <c r="N336" s="54"/>
    </row>
    <row r="337" spans="1:14" x14ac:dyDescent="0.3">
      <c r="A337" s="54"/>
      <c r="B337" s="54"/>
      <c r="C337" s="54"/>
      <c r="D337" s="54"/>
      <c r="E337" s="54"/>
      <c r="F337" s="54"/>
      <c r="G337" s="54"/>
      <c r="H337" s="54"/>
      <c r="I337" s="121"/>
      <c r="J337" s="54"/>
      <c r="K337" s="54"/>
      <c r="L337" s="54"/>
      <c r="M337" s="54"/>
      <c r="N337" s="54"/>
    </row>
    <row r="338" spans="1:14" x14ac:dyDescent="0.3">
      <c r="A338" s="54"/>
      <c r="B338" s="54"/>
      <c r="C338" s="54"/>
      <c r="D338" s="54"/>
      <c r="E338" s="54"/>
      <c r="F338" s="54"/>
      <c r="G338" s="54"/>
      <c r="H338" s="54"/>
      <c r="I338" s="121"/>
      <c r="J338" s="54"/>
      <c r="K338" s="54"/>
      <c r="L338" s="54"/>
      <c r="M338" s="54"/>
      <c r="N338" s="54"/>
    </row>
    <row r="339" spans="1:14" x14ac:dyDescent="0.3">
      <c r="A339" s="54"/>
      <c r="B339" s="54"/>
      <c r="C339" s="54"/>
      <c r="D339" s="54"/>
      <c r="E339" s="54"/>
      <c r="F339" s="54"/>
      <c r="G339" s="54"/>
      <c r="H339" s="54"/>
      <c r="I339" s="121"/>
      <c r="J339" s="54"/>
      <c r="K339" s="54"/>
      <c r="L339" s="54"/>
      <c r="M339" s="54"/>
      <c r="N339" s="54"/>
    </row>
    <row r="340" spans="1:14" x14ac:dyDescent="0.3">
      <c r="A340" s="54"/>
      <c r="B340" s="54"/>
      <c r="C340" s="54"/>
      <c r="D340" s="54"/>
      <c r="E340" s="54"/>
      <c r="F340" s="54"/>
      <c r="G340" s="54"/>
      <c r="H340" s="54"/>
      <c r="I340" s="121"/>
      <c r="J340" s="54"/>
      <c r="K340" s="54"/>
      <c r="L340" s="54"/>
      <c r="M340" s="54"/>
      <c r="N340" s="54"/>
    </row>
    <row r="341" spans="1:14" x14ac:dyDescent="0.3">
      <c r="A341" s="54"/>
      <c r="B341" s="54"/>
      <c r="C341" s="54"/>
      <c r="D341" s="54"/>
      <c r="E341" s="54"/>
      <c r="F341" s="54"/>
      <c r="G341" s="54"/>
      <c r="H341" s="54"/>
      <c r="I341" s="121"/>
      <c r="J341" s="54"/>
      <c r="K341" s="54"/>
      <c r="L341" s="54"/>
      <c r="M341" s="54"/>
      <c r="N341" s="54"/>
    </row>
    <row r="342" spans="1:14" x14ac:dyDescent="0.3">
      <c r="A342" s="54"/>
      <c r="B342" s="54"/>
      <c r="C342" s="54"/>
      <c r="D342" s="54"/>
      <c r="E342" s="54"/>
      <c r="F342" s="54"/>
      <c r="G342" s="54"/>
      <c r="H342" s="54"/>
      <c r="I342" s="121"/>
      <c r="J342" s="54"/>
      <c r="K342" s="54"/>
      <c r="L342" s="54"/>
      <c r="M342" s="54"/>
      <c r="N342" s="54"/>
    </row>
    <row r="343" spans="1:14" x14ac:dyDescent="0.3">
      <c r="A343" s="54"/>
      <c r="B343" s="54"/>
      <c r="C343" s="54"/>
      <c r="D343" s="54"/>
      <c r="E343" s="54"/>
      <c r="F343" s="54"/>
      <c r="G343" s="54"/>
      <c r="H343" s="54"/>
      <c r="I343" s="121"/>
      <c r="J343" s="54"/>
      <c r="K343" s="54"/>
      <c r="L343" s="54"/>
      <c r="M343" s="54"/>
      <c r="N343" s="54"/>
    </row>
    <row r="344" spans="1:14" x14ac:dyDescent="0.3">
      <c r="A344" s="54"/>
      <c r="B344" s="54"/>
      <c r="C344" s="54"/>
      <c r="D344" s="54"/>
      <c r="E344" s="54"/>
      <c r="F344" s="54"/>
      <c r="G344" s="54"/>
      <c r="H344" s="54"/>
      <c r="I344" s="121"/>
      <c r="J344" s="54"/>
      <c r="K344" s="54"/>
      <c r="L344" s="54"/>
      <c r="M344" s="54"/>
      <c r="N344" s="54"/>
    </row>
    <row r="345" spans="1:14" x14ac:dyDescent="0.3">
      <c r="A345" s="54"/>
      <c r="B345" s="54"/>
      <c r="C345" s="54"/>
      <c r="D345" s="54"/>
      <c r="E345" s="54"/>
      <c r="F345" s="54"/>
      <c r="G345" s="54"/>
      <c r="H345" s="54"/>
      <c r="I345" s="121"/>
      <c r="J345" s="54"/>
      <c r="K345" s="54"/>
      <c r="L345" s="54"/>
      <c r="M345" s="54"/>
      <c r="N345" s="54"/>
    </row>
    <row r="346" spans="1:14" x14ac:dyDescent="0.3">
      <c r="A346" s="54"/>
      <c r="B346" s="54"/>
      <c r="C346" s="54"/>
      <c r="D346" s="54"/>
      <c r="E346" s="54"/>
      <c r="F346" s="54"/>
      <c r="G346" s="54"/>
      <c r="H346" s="54"/>
      <c r="I346" s="121"/>
      <c r="J346" s="54"/>
      <c r="K346" s="54"/>
      <c r="L346" s="54"/>
      <c r="M346" s="54"/>
      <c r="N346" s="54"/>
    </row>
    <row r="347" spans="1:14" x14ac:dyDescent="0.3">
      <c r="A347" s="54"/>
      <c r="B347" s="54"/>
      <c r="C347" s="54"/>
      <c r="D347" s="54"/>
      <c r="E347" s="54"/>
      <c r="F347" s="54"/>
      <c r="G347" s="54"/>
      <c r="H347" s="54"/>
      <c r="I347" s="121"/>
      <c r="J347" s="54"/>
      <c r="K347" s="54"/>
      <c r="L347" s="54"/>
      <c r="M347" s="54"/>
      <c r="N347" s="54"/>
    </row>
    <row r="348" spans="1:14" x14ac:dyDescent="0.3">
      <c r="A348" s="54"/>
      <c r="B348" s="54"/>
      <c r="C348" s="54"/>
      <c r="D348" s="54"/>
      <c r="E348" s="54"/>
      <c r="F348" s="54"/>
      <c r="G348" s="54"/>
      <c r="H348" s="54"/>
      <c r="I348" s="121"/>
      <c r="J348" s="54"/>
      <c r="K348" s="54"/>
      <c r="L348" s="54"/>
      <c r="M348" s="54"/>
      <c r="N348" s="54"/>
    </row>
    <row r="349" spans="1:14" x14ac:dyDescent="0.3">
      <c r="A349" s="54"/>
      <c r="B349" s="54"/>
      <c r="C349" s="54"/>
      <c r="D349" s="54"/>
      <c r="E349" s="54"/>
      <c r="F349" s="54"/>
      <c r="G349" s="54"/>
      <c r="H349" s="54"/>
      <c r="I349" s="121"/>
      <c r="J349" s="54"/>
      <c r="K349" s="54"/>
      <c r="L349" s="54"/>
      <c r="M349" s="54"/>
      <c r="N349" s="54"/>
    </row>
    <row r="350" spans="1:14" x14ac:dyDescent="0.3">
      <c r="A350" s="54"/>
      <c r="B350" s="54"/>
      <c r="C350" s="54"/>
      <c r="D350" s="54"/>
      <c r="E350" s="54"/>
      <c r="F350" s="54"/>
      <c r="G350" s="54"/>
      <c r="H350" s="54"/>
      <c r="I350" s="121"/>
      <c r="J350" s="54"/>
      <c r="K350" s="54"/>
      <c r="L350" s="54"/>
      <c r="M350" s="54"/>
      <c r="N350" s="54"/>
    </row>
    <row r="351" spans="1:14" x14ac:dyDescent="0.3">
      <c r="A351" s="54"/>
      <c r="B351" s="54"/>
      <c r="C351" s="54"/>
      <c r="D351" s="54"/>
      <c r="E351" s="54"/>
      <c r="F351" s="54"/>
      <c r="G351" s="54"/>
      <c r="H351" s="54"/>
      <c r="I351" s="121"/>
      <c r="J351" s="54"/>
      <c r="K351" s="54"/>
      <c r="L351" s="54"/>
      <c r="M351" s="54"/>
      <c r="N351" s="54"/>
    </row>
    <row r="352" spans="1:14" x14ac:dyDescent="0.3">
      <c r="A352" s="54"/>
      <c r="B352" s="54"/>
      <c r="C352" s="54"/>
      <c r="D352" s="54"/>
      <c r="E352" s="54"/>
      <c r="F352" s="54"/>
      <c r="G352" s="54"/>
      <c r="H352" s="54"/>
      <c r="I352" s="121"/>
      <c r="J352" s="54"/>
      <c r="K352" s="54"/>
      <c r="L352" s="54"/>
      <c r="M352" s="54"/>
      <c r="N352" s="54"/>
    </row>
    <row r="353" spans="1:14" x14ac:dyDescent="0.3">
      <c r="A353" s="54"/>
      <c r="B353" s="54"/>
      <c r="C353" s="54"/>
      <c r="D353" s="54"/>
      <c r="E353" s="54"/>
      <c r="F353" s="54"/>
      <c r="G353" s="54"/>
      <c r="H353" s="54"/>
      <c r="I353" s="121"/>
      <c r="J353" s="54"/>
      <c r="K353" s="54"/>
      <c r="L353" s="54"/>
      <c r="M353" s="54"/>
      <c r="N353" s="54"/>
    </row>
    <row r="354" spans="1:14" x14ac:dyDescent="0.3">
      <c r="A354" s="54"/>
      <c r="B354" s="54"/>
      <c r="C354" s="54"/>
      <c r="D354" s="54"/>
      <c r="E354" s="54"/>
      <c r="F354" s="54"/>
      <c r="G354" s="54"/>
      <c r="H354" s="54"/>
      <c r="I354" s="121"/>
      <c r="J354" s="54"/>
      <c r="K354" s="54"/>
      <c r="L354" s="54"/>
      <c r="M354" s="54"/>
      <c r="N354" s="54"/>
    </row>
    <row r="355" spans="1:14" x14ac:dyDescent="0.3">
      <c r="A355" s="54"/>
      <c r="B355" s="54"/>
      <c r="C355" s="54"/>
      <c r="D355" s="54"/>
      <c r="E355" s="54"/>
      <c r="F355" s="54"/>
      <c r="G355" s="54"/>
      <c r="H355" s="54"/>
      <c r="I355" s="121"/>
      <c r="J355" s="54"/>
      <c r="K355" s="54"/>
      <c r="L355" s="54"/>
      <c r="M355" s="54"/>
      <c r="N355" s="54"/>
    </row>
    <row r="356" spans="1:14" x14ac:dyDescent="0.3">
      <c r="A356" s="54"/>
      <c r="B356" s="54"/>
      <c r="C356" s="54"/>
      <c r="D356" s="54"/>
      <c r="E356" s="54"/>
      <c r="F356" s="54"/>
      <c r="G356" s="54"/>
      <c r="H356" s="54"/>
      <c r="I356" s="121"/>
      <c r="J356" s="54"/>
      <c r="K356" s="54"/>
      <c r="L356" s="54"/>
      <c r="M356" s="54"/>
      <c r="N356" s="54"/>
    </row>
    <row r="357" spans="1:14" x14ac:dyDescent="0.3">
      <c r="A357" s="54"/>
      <c r="B357" s="54"/>
      <c r="C357" s="54"/>
      <c r="D357" s="54"/>
      <c r="E357" s="54"/>
      <c r="F357" s="54"/>
      <c r="G357" s="54"/>
      <c r="H357" s="54"/>
      <c r="I357" s="121"/>
      <c r="J357" s="54"/>
      <c r="K357" s="54"/>
      <c r="L357" s="54"/>
      <c r="M357" s="54"/>
      <c r="N357" s="54"/>
    </row>
    <row r="358" spans="1:14" x14ac:dyDescent="0.3">
      <c r="A358" s="54"/>
      <c r="B358" s="54"/>
      <c r="C358" s="54"/>
      <c r="D358" s="54"/>
      <c r="E358" s="54"/>
      <c r="F358" s="54"/>
      <c r="G358" s="54"/>
      <c r="H358" s="54"/>
      <c r="I358" s="121"/>
      <c r="J358" s="54"/>
      <c r="K358" s="54"/>
      <c r="L358" s="54"/>
      <c r="M358" s="54"/>
      <c r="N358" s="54"/>
    </row>
    <row r="359" spans="1:14" x14ac:dyDescent="0.3">
      <c r="A359" s="54"/>
      <c r="B359" s="54"/>
      <c r="C359" s="54"/>
      <c r="D359" s="54"/>
      <c r="E359" s="54"/>
      <c r="F359" s="54"/>
      <c r="G359" s="54"/>
      <c r="H359" s="54"/>
      <c r="I359" s="121"/>
      <c r="J359" s="54"/>
      <c r="K359" s="54"/>
      <c r="L359" s="54"/>
      <c r="M359" s="54"/>
      <c r="N359" s="54"/>
    </row>
    <row r="360" spans="1:14" x14ac:dyDescent="0.3">
      <c r="A360" s="54"/>
      <c r="B360" s="54"/>
      <c r="C360" s="54"/>
      <c r="D360" s="54"/>
      <c r="E360" s="54"/>
      <c r="F360" s="54"/>
      <c r="G360" s="54"/>
      <c r="H360" s="54"/>
      <c r="I360" s="121"/>
      <c r="J360" s="54"/>
      <c r="K360" s="54"/>
      <c r="L360" s="54"/>
      <c r="M360" s="54"/>
      <c r="N360" s="54"/>
    </row>
    <row r="361" spans="1:14" x14ac:dyDescent="0.3">
      <c r="A361" s="54"/>
      <c r="B361" s="54"/>
      <c r="C361" s="54"/>
      <c r="D361" s="54"/>
      <c r="E361" s="54"/>
      <c r="F361" s="54"/>
      <c r="G361" s="54"/>
      <c r="H361" s="54"/>
      <c r="I361" s="121"/>
      <c r="J361" s="54"/>
      <c r="K361" s="54"/>
      <c r="L361" s="54"/>
      <c r="M361" s="54"/>
      <c r="N361" s="54"/>
    </row>
    <row r="362" spans="1:14" x14ac:dyDescent="0.3">
      <c r="A362" s="54"/>
      <c r="B362" s="54"/>
      <c r="C362" s="54"/>
      <c r="D362" s="54"/>
      <c r="E362" s="54"/>
      <c r="F362" s="54"/>
      <c r="G362" s="54"/>
      <c r="H362" s="54"/>
      <c r="I362" s="121"/>
      <c r="J362" s="54"/>
      <c r="K362" s="54"/>
      <c r="L362" s="54"/>
      <c r="M362" s="54"/>
      <c r="N362" s="54"/>
    </row>
    <row r="363" spans="1:14" x14ac:dyDescent="0.3">
      <c r="A363" s="54"/>
      <c r="B363" s="54"/>
      <c r="C363" s="54"/>
      <c r="D363" s="54"/>
      <c r="E363" s="54"/>
      <c r="F363" s="54"/>
      <c r="G363" s="54"/>
      <c r="H363" s="54"/>
      <c r="I363" s="121"/>
      <c r="J363" s="54"/>
      <c r="K363" s="54"/>
      <c r="L363" s="54"/>
      <c r="M363" s="54"/>
      <c r="N363" s="54"/>
    </row>
    <row r="364" spans="1:14" x14ac:dyDescent="0.3">
      <c r="A364" s="54"/>
      <c r="B364" s="54"/>
      <c r="C364" s="54"/>
      <c r="D364" s="54"/>
      <c r="E364" s="54"/>
      <c r="F364" s="54"/>
      <c r="G364" s="54"/>
      <c r="H364" s="54"/>
      <c r="I364" s="121"/>
      <c r="J364" s="54"/>
      <c r="K364" s="54"/>
      <c r="L364" s="54"/>
      <c r="M364" s="54"/>
      <c r="N364" s="54"/>
    </row>
    <row r="365" spans="1:14" x14ac:dyDescent="0.3">
      <c r="A365" s="54"/>
      <c r="B365" s="54"/>
      <c r="C365" s="54"/>
      <c r="D365" s="54"/>
      <c r="E365" s="54"/>
      <c r="F365" s="54"/>
      <c r="G365" s="54"/>
      <c r="H365" s="54"/>
      <c r="I365" s="121"/>
      <c r="J365" s="54"/>
      <c r="K365" s="54"/>
      <c r="L365" s="54"/>
      <c r="M365" s="54"/>
      <c r="N365" s="54"/>
    </row>
    <row r="366" spans="1:14" x14ac:dyDescent="0.3">
      <c r="A366" s="54"/>
      <c r="B366" s="54"/>
      <c r="C366" s="54"/>
      <c r="D366" s="54"/>
      <c r="E366" s="54"/>
      <c r="F366" s="54"/>
      <c r="G366" s="54"/>
      <c r="H366" s="54"/>
      <c r="I366" s="121"/>
      <c r="J366" s="54"/>
      <c r="K366" s="54"/>
      <c r="L366" s="54"/>
      <c r="M366" s="54"/>
      <c r="N366" s="54"/>
    </row>
    <row r="367" spans="1:14" x14ac:dyDescent="0.3">
      <c r="A367" s="54"/>
      <c r="B367" s="54"/>
      <c r="C367" s="54"/>
      <c r="D367" s="54"/>
      <c r="E367" s="54"/>
      <c r="F367" s="54"/>
      <c r="G367" s="54"/>
      <c r="H367" s="54"/>
      <c r="I367" s="121"/>
      <c r="J367" s="54"/>
      <c r="K367" s="54"/>
      <c r="L367" s="54"/>
      <c r="M367" s="54"/>
      <c r="N367" s="54"/>
    </row>
    <row r="368" spans="1:14" x14ac:dyDescent="0.3">
      <c r="A368" s="54"/>
      <c r="B368" s="54"/>
      <c r="C368" s="54"/>
      <c r="D368" s="54"/>
      <c r="E368" s="54"/>
      <c r="F368" s="54"/>
      <c r="G368" s="54"/>
      <c r="H368" s="54"/>
      <c r="I368" s="121"/>
      <c r="J368" s="54"/>
      <c r="K368" s="54"/>
      <c r="L368" s="54"/>
      <c r="M368" s="54"/>
      <c r="N368" s="54"/>
    </row>
    <row r="369" spans="1:14" x14ac:dyDescent="0.3">
      <c r="A369" s="54"/>
      <c r="B369" s="54"/>
      <c r="C369" s="54"/>
      <c r="D369" s="54"/>
      <c r="E369" s="54"/>
      <c r="F369" s="54"/>
      <c r="G369" s="54"/>
      <c r="H369" s="54"/>
      <c r="I369" s="121"/>
      <c r="J369" s="54"/>
      <c r="K369" s="54"/>
      <c r="L369" s="54"/>
      <c r="M369" s="54"/>
      <c r="N369" s="54"/>
    </row>
    <row r="370" spans="1:14" x14ac:dyDescent="0.3">
      <c r="A370" s="54"/>
      <c r="B370" s="54"/>
      <c r="C370" s="54"/>
      <c r="D370" s="54"/>
      <c r="E370" s="54"/>
      <c r="F370" s="54"/>
      <c r="G370" s="54"/>
      <c r="H370" s="54"/>
      <c r="I370" s="121"/>
      <c r="J370" s="54"/>
      <c r="K370" s="54"/>
      <c r="L370" s="54"/>
      <c r="M370" s="54"/>
      <c r="N370" s="54"/>
    </row>
    <row r="371" spans="1:14" x14ac:dyDescent="0.3">
      <c r="A371" s="54"/>
      <c r="B371" s="54"/>
      <c r="C371" s="54"/>
      <c r="D371" s="54"/>
      <c r="E371" s="54"/>
      <c r="F371" s="54"/>
      <c r="G371" s="54"/>
      <c r="H371" s="54"/>
      <c r="I371" s="121"/>
      <c r="J371" s="54"/>
      <c r="K371" s="54"/>
      <c r="L371" s="54"/>
      <c r="M371" s="54"/>
      <c r="N371" s="54"/>
    </row>
    <row r="372" spans="1:14" x14ac:dyDescent="0.3">
      <c r="A372" s="54"/>
      <c r="B372" s="54"/>
      <c r="C372" s="54"/>
      <c r="D372" s="54"/>
      <c r="E372" s="54"/>
      <c r="F372" s="54"/>
      <c r="G372" s="54"/>
      <c r="H372" s="54"/>
      <c r="I372" s="121"/>
      <c r="J372" s="54"/>
      <c r="K372" s="54"/>
      <c r="L372" s="54"/>
      <c r="M372" s="54"/>
      <c r="N372" s="54"/>
    </row>
    <row r="373" spans="1:14" x14ac:dyDescent="0.3">
      <c r="A373" s="54"/>
      <c r="B373" s="54"/>
      <c r="C373" s="54"/>
      <c r="D373" s="54"/>
      <c r="E373" s="54"/>
      <c r="F373" s="54"/>
      <c r="G373" s="54"/>
      <c r="H373" s="54"/>
      <c r="I373" s="121"/>
      <c r="J373" s="54"/>
      <c r="K373" s="54"/>
      <c r="L373" s="54"/>
      <c r="M373" s="54"/>
      <c r="N373" s="54"/>
    </row>
    <row r="374" spans="1:14" x14ac:dyDescent="0.3">
      <c r="A374" s="54"/>
      <c r="B374" s="54"/>
      <c r="C374" s="54"/>
      <c r="D374" s="54"/>
      <c r="E374" s="54"/>
      <c r="F374" s="54"/>
      <c r="G374" s="54"/>
      <c r="H374" s="54"/>
      <c r="I374" s="121"/>
      <c r="J374" s="54"/>
      <c r="K374" s="54"/>
      <c r="L374" s="54"/>
      <c r="M374" s="54"/>
      <c r="N374" s="54"/>
    </row>
    <row r="375" spans="1:14" x14ac:dyDescent="0.3">
      <c r="A375" s="54"/>
      <c r="B375" s="54"/>
      <c r="C375" s="54"/>
      <c r="D375" s="54"/>
      <c r="E375" s="54"/>
      <c r="F375" s="54"/>
      <c r="G375" s="54"/>
      <c r="H375" s="54"/>
      <c r="I375" s="121"/>
      <c r="J375" s="54"/>
      <c r="K375" s="54"/>
      <c r="L375" s="54"/>
      <c r="M375" s="54"/>
      <c r="N375" s="54"/>
    </row>
    <row r="376" spans="1:14" x14ac:dyDescent="0.3">
      <c r="A376" s="54"/>
      <c r="B376" s="54"/>
      <c r="C376" s="54"/>
      <c r="D376" s="54"/>
      <c r="E376" s="54"/>
      <c r="F376" s="54"/>
      <c r="G376" s="54"/>
      <c r="H376" s="54"/>
      <c r="I376" s="121"/>
      <c r="J376" s="54"/>
      <c r="K376" s="54"/>
      <c r="L376" s="54"/>
      <c r="M376" s="54"/>
      <c r="N376" s="54"/>
    </row>
    <row r="377" spans="1:14" x14ac:dyDescent="0.3">
      <c r="A377" s="54"/>
      <c r="B377" s="54"/>
      <c r="C377" s="54"/>
      <c r="D377" s="54"/>
      <c r="E377" s="54"/>
      <c r="F377" s="54"/>
      <c r="G377" s="54"/>
      <c r="H377" s="54"/>
      <c r="I377" s="121"/>
      <c r="J377" s="54"/>
      <c r="K377" s="54"/>
      <c r="L377" s="54"/>
      <c r="M377" s="54"/>
      <c r="N377" s="54"/>
    </row>
    <row r="378" spans="1:14" x14ac:dyDescent="0.3">
      <c r="A378" s="54"/>
      <c r="B378" s="54"/>
      <c r="C378" s="54"/>
      <c r="D378" s="54"/>
      <c r="E378" s="54"/>
      <c r="F378" s="54"/>
      <c r="G378" s="54"/>
      <c r="H378" s="54"/>
      <c r="I378" s="121"/>
      <c r="J378" s="54"/>
      <c r="K378" s="54"/>
      <c r="L378" s="54"/>
      <c r="M378" s="54"/>
      <c r="N378" s="54"/>
    </row>
    <row r="379" spans="1:14" x14ac:dyDescent="0.3">
      <c r="A379" s="54"/>
      <c r="B379" s="54"/>
      <c r="C379" s="54"/>
      <c r="D379" s="54"/>
      <c r="E379" s="54"/>
      <c r="F379" s="54"/>
      <c r="G379" s="54"/>
      <c r="H379" s="54"/>
      <c r="I379" s="121"/>
      <c r="J379" s="54"/>
      <c r="K379" s="54"/>
      <c r="L379" s="54"/>
      <c r="M379" s="54"/>
      <c r="N379" s="54"/>
    </row>
    <row r="380" spans="1:14" x14ac:dyDescent="0.3">
      <c r="A380" s="54"/>
      <c r="B380" s="54"/>
      <c r="C380" s="54"/>
      <c r="D380" s="54"/>
      <c r="E380" s="54"/>
      <c r="F380" s="54"/>
      <c r="G380" s="54"/>
      <c r="H380" s="54"/>
      <c r="I380" s="121"/>
      <c r="J380" s="54"/>
      <c r="K380" s="54"/>
      <c r="L380" s="54"/>
      <c r="M380" s="54"/>
      <c r="N380" s="54"/>
    </row>
    <row r="381" spans="1:14" x14ac:dyDescent="0.3">
      <c r="A381" s="54"/>
      <c r="B381" s="54"/>
      <c r="C381" s="54"/>
      <c r="D381" s="54"/>
      <c r="E381" s="54"/>
      <c r="F381" s="54"/>
      <c r="G381" s="54"/>
      <c r="H381" s="54"/>
      <c r="I381" s="121"/>
      <c r="J381" s="54"/>
      <c r="K381" s="54"/>
      <c r="L381" s="54"/>
      <c r="M381" s="54"/>
      <c r="N381" s="54"/>
    </row>
    <row r="382" spans="1:14" x14ac:dyDescent="0.3">
      <c r="A382" s="54"/>
      <c r="B382" s="54"/>
      <c r="C382" s="54"/>
      <c r="D382" s="54"/>
      <c r="E382" s="54"/>
      <c r="F382" s="54"/>
      <c r="G382" s="54"/>
      <c r="H382" s="54"/>
      <c r="I382" s="121"/>
      <c r="J382" s="54"/>
      <c r="K382" s="54"/>
      <c r="L382" s="54"/>
      <c r="M382" s="54"/>
      <c r="N382" s="54"/>
    </row>
    <row r="383" spans="1:14" x14ac:dyDescent="0.3">
      <c r="A383" s="54"/>
      <c r="B383" s="54"/>
      <c r="C383" s="54"/>
      <c r="D383" s="54"/>
      <c r="E383" s="54"/>
      <c r="F383" s="54"/>
      <c r="G383" s="54"/>
      <c r="H383" s="54"/>
      <c r="I383" s="121"/>
      <c r="J383" s="54"/>
      <c r="K383" s="54"/>
      <c r="L383" s="54"/>
      <c r="M383" s="54"/>
      <c r="N383" s="54"/>
    </row>
    <row r="384" spans="1:14" x14ac:dyDescent="0.3">
      <c r="A384" s="54"/>
      <c r="B384" s="54"/>
      <c r="C384" s="54"/>
      <c r="D384" s="54"/>
      <c r="E384" s="54"/>
      <c r="F384" s="54"/>
      <c r="G384" s="54"/>
      <c r="H384" s="54"/>
      <c r="I384" s="121"/>
      <c r="J384" s="54"/>
      <c r="K384" s="54"/>
      <c r="L384" s="54"/>
      <c r="M384" s="54"/>
      <c r="N384" s="54"/>
    </row>
    <row r="385" spans="1:14" x14ac:dyDescent="0.3">
      <c r="A385" s="54"/>
      <c r="B385" s="54"/>
      <c r="C385" s="54"/>
      <c r="D385" s="54"/>
      <c r="E385" s="54"/>
      <c r="F385" s="54"/>
      <c r="G385" s="54"/>
      <c r="H385" s="54"/>
      <c r="I385" s="121"/>
      <c r="J385" s="54"/>
      <c r="K385" s="54"/>
      <c r="L385" s="54"/>
      <c r="M385" s="54"/>
      <c r="N385" s="54"/>
    </row>
    <row r="386" spans="1:14" x14ac:dyDescent="0.3">
      <c r="A386" s="54"/>
      <c r="B386" s="54"/>
      <c r="C386" s="54"/>
      <c r="D386" s="54"/>
      <c r="E386" s="54"/>
      <c r="F386" s="54"/>
      <c r="G386" s="54"/>
      <c r="H386" s="54"/>
      <c r="I386" s="121"/>
      <c r="J386" s="54"/>
      <c r="K386" s="54"/>
      <c r="L386" s="54"/>
      <c r="M386" s="54"/>
      <c r="N386" s="54"/>
    </row>
    <row r="387" spans="1:14" x14ac:dyDescent="0.3">
      <c r="A387" s="54"/>
      <c r="B387" s="54"/>
      <c r="C387" s="54"/>
      <c r="D387" s="54"/>
      <c r="E387" s="54"/>
      <c r="F387" s="54"/>
      <c r="G387" s="54"/>
      <c r="H387" s="54"/>
      <c r="I387" s="121"/>
      <c r="J387" s="54"/>
      <c r="K387" s="54"/>
      <c r="L387" s="54"/>
      <c r="M387" s="54"/>
      <c r="N387" s="54"/>
    </row>
    <row r="388" spans="1:14" x14ac:dyDescent="0.3">
      <c r="A388" s="54"/>
      <c r="B388" s="54"/>
      <c r="C388" s="54"/>
      <c r="D388" s="54"/>
      <c r="E388" s="54"/>
      <c r="F388" s="54"/>
      <c r="G388" s="54"/>
      <c r="H388" s="54"/>
      <c r="I388" s="121"/>
      <c r="J388" s="54"/>
      <c r="K388" s="54"/>
      <c r="L388" s="54"/>
      <c r="M388" s="54"/>
      <c r="N388" s="54"/>
    </row>
    <row r="389" spans="1:14" x14ac:dyDescent="0.3">
      <c r="A389" s="54"/>
      <c r="B389" s="54"/>
      <c r="C389" s="54"/>
      <c r="D389" s="54"/>
      <c r="E389" s="54"/>
      <c r="F389" s="54"/>
      <c r="G389" s="54"/>
      <c r="H389" s="54"/>
      <c r="I389" s="121"/>
      <c r="J389" s="54"/>
      <c r="K389" s="54"/>
      <c r="L389" s="54"/>
      <c r="M389" s="54"/>
      <c r="N389" s="54"/>
    </row>
    <row r="390" spans="1:14" x14ac:dyDescent="0.3">
      <c r="A390" s="54"/>
      <c r="B390" s="54"/>
      <c r="C390" s="54"/>
      <c r="D390" s="54"/>
      <c r="E390" s="54"/>
      <c r="F390" s="54"/>
      <c r="G390" s="54"/>
      <c r="H390" s="54"/>
      <c r="I390" s="121"/>
      <c r="J390" s="54"/>
      <c r="K390" s="54"/>
      <c r="L390" s="54"/>
      <c r="M390" s="54"/>
      <c r="N390" s="54"/>
    </row>
    <row r="391" spans="1:14" x14ac:dyDescent="0.3">
      <c r="A391" s="54"/>
      <c r="B391" s="54"/>
      <c r="C391" s="54"/>
      <c r="D391" s="54"/>
      <c r="E391" s="54"/>
      <c r="F391" s="54"/>
      <c r="G391" s="54"/>
      <c r="H391" s="54"/>
      <c r="I391" s="121"/>
      <c r="J391" s="54"/>
      <c r="K391" s="54"/>
      <c r="L391" s="54"/>
      <c r="M391" s="54"/>
      <c r="N391" s="54"/>
    </row>
    <row r="392" spans="1:14" x14ac:dyDescent="0.3">
      <c r="A392" s="54"/>
      <c r="B392" s="54"/>
      <c r="C392" s="54"/>
      <c r="D392" s="54"/>
      <c r="E392" s="54"/>
      <c r="F392" s="54"/>
      <c r="G392" s="54"/>
      <c r="H392" s="54"/>
      <c r="I392" s="121"/>
      <c r="J392" s="54"/>
      <c r="K392" s="54"/>
      <c r="L392" s="54"/>
      <c r="M392" s="54"/>
      <c r="N392" s="54"/>
    </row>
    <row r="393" spans="1:14" x14ac:dyDescent="0.3">
      <c r="A393" s="54"/>
      <c r="B393" s="54"/>
      <c r="C393" s="54"/>
      <c r="D393" s="54"/>
      <c r="E393" s="54"/>
      <c r="F393" s="54"/>
      <c r="G393" s="54"/>
      <c r="H393" s="54"/>
      <c r="I393" s="121"/>
      <c r="J393" s="54"/>
      <c r="K393" s="54"/>
      <c r="L393" s="54"/>
      <c r="M393" s="54"/>
      <c r="N393" s="54"/>
    </row>
    <row r="394" spans="1:14" x14ac:dyDescent="0.3">
      <c r="A394" s="54"/>
      <c r="B394" s="54"/>
      <c r="C394" s="54"/>
      <c r="D394" s="54"/>
      <c r="E394" s="54"/>
      <c r="F394" s="54"/>
      <c r="G394" s="54"/>
      <c r="H394" s="54"/>
      <c r="I394" s="121"/>
      <c r="J394" s="54"/>
      <c r="K394" s="54"/>
      <c r="L394" s="54"/>
      <c r="M394" s="54"/>
      <c r="N394" s="54"/>
    </row>
    <row r="395" spans="1:14" x14ac:dyDescent="0.3">
      <c r="A395" s="54"/>
      <c r="B395" s="54"/>
      <c r="C395" s="54"/>
      <c r="D395" s="54"/>
      <c r="E395" s="54"/>
      <c r="F395" s="54"/>
      <c r="G395" s="54"/>
      <c r="H395" s="54"/>
      <c r="I395" s="121"/>
      <c r="J395" s="54"/>
      <c r="K395" s="54"/>
      <c r="L395" s="54"/>
      <c r="M395" s="54"/>
      <c r="N395" s="54"/>
    </row>
    <row r="396" spans="1:14" x14ac:dyDescent="0.3">
      <c r="A396" s="54"/>
      <c r="B396" s="54"/>
      <c r="C396" s="54"/>
      <c r="D396" s="54"/>
      <c r="E396" s="54"/>
      <c r="F396" s="54"/>
      <c r="G396" s="54"/>
      <c r="H396" s="54"/>
      <c r="I396" s="121"/>
      <c r="J396" s="54"/>
      <c r="K396" s="54"/>
      <c r="L396" s="54"/>
      <c r="M396" s="54"/>
      <c r="N396" s="54"/>
    </row>
    <row r="397" spans="1:14" x14ac:dyDescent="0.3">
      <c r="A397" s="54"/>
      <c r="B397" s="54"/>
      <c r="C397" s="54"/>
      <c r="D397" s="54"/>
      <c r="E397" s="54"/>
      <c r="F397" s="54"/>
      <c r="G397" s="54"/>
      <c r="H397" s="54"/>
      <c r="I397" s="121"/>
      <c r="J397" s="54"/>
      <c r="K397" s="54"/>
      <c r="L397" s="54"/>
      <c r="M397" s="54"/>
      <c r="N397" s="54"/>
    </row>
    <row r="398" spans="1:14" x14ac:dyDescent="0.3">
      <c r="A398" s="54"/>
      <c r="B398" s="54"/>
      <c r="C398" s="54"/>
      <c r="D398" s="54"/>
      <c r="E398" s="54"/>
      <c r="F398" s="54"/>
      <c r="G398" s="54"/>
      <c r="H398" s="54"/>
      <c r="I398" s="121"/>
      <c r="J398" s="54"/>
      <c r="K398" s="54"/>
      <c r="L398" s="54"/>
      <c r="M398" s="54"/>
      <c r="N398" s="54"/>
    </row>
    <row r="399" spans="1:14" x14ac:dyDescent="0.3">
      <c r="A399" s="54"/>
      <c r="B399" s="54"/>
      <c r="C399" s="54"/>
      <c r="D399" s="54"/>
      <c r="E399" s="54"/>
      <c r="F399" s="54"/>
      <c r="G399" s="54"/>
      <c r="H399" s="54"/>
      <c r="I399" s="121"/>
      <c r="J399" s="54"/>
      <c r="K399" s="54"/>
      <c r="L399" s="54"/>
      <c r="M399" s="54"/>
      <c r="N399" s="54"/>
    </row>
    <row r="400" spans="1:14" x14ac:dyDescent="0.3">
      <c r="A400" s="54"/>
      <c r="B400" s="54"/>
      <c r="C400" s="54"/>
      <c r="D400" s="54"/>
      <c r="E400" s="54"/>
      <c r="F400" s="54"/>
      <c r="G400" s="54"/>
      <c r="H400" s="54"/>
      <c r="I400" s="121"/>
      <c r="J400" s="54"/>
      <c r="K400" s="54"/>
      <c r="L400" s="54"/>
      <c r="M400" s="54"/>
      <c r="N400" s="54"/>
    </row>
    <row r="401" spans="1:14" x14ac:dyDescent="0.3">
      <c r="A401" s="54"/>
      <c r="B401" s="54"/>
      <c r="C401" s="54"/>
      <c r="D401" s="54"/>
      <c r="E401" s="54"/>
      <c r="F401" s="54"/>
      <c r="G401" s="54"/>
      <c r="H401" s="54"/>
      <c r="I401" s="121"/>
      <c r="J401" s="54"/>
      <c r="K401" s="54"/>
      <c r="L401" s="54"/>
      <c r="M401" s="54"/>
      <c r="N401" s="54"/>
    </row>
    <row r="402" spans="1:14" x14ac:dyDescent="0.3">
      <c r="A402" s="54"/>
      <c r="B402" s="54"/>
      <c r="C402" s="54"/>
      <c r="D402" s="54"/>
      <c r="E402" s="54"/>
      <c r="F402" s="54"/>
      <c r="G402" s="54"/>
      <c r="H402" s="54"/>
      <c r="I402" s="121"/>
      <c r="J402" s="54"/>
      <c r="K402" s="54"/>
      <c r="L402" s="54"/>
      <c r="M402" s="54"/>
      <c r="N402" s="54"/>
    </row>
    <row r="403" spans="1:14" x14ac:dyDescent="0.3">
      <c r="A403" s="54"/>
      <c r="B403" s="54"/>
      <c r="C403" s="54"/>
      <c r="D403" s="54"/>
      <c r="E403" s="54"/>
      <c r="F403" s="54"/>
      <c r="G403" s="54"/>
      <c r="H403" s="54"/>
      <c r="I403" s="121"/>
      <c r="J403" s="54"/>
      <c r="K403" s="54"/>
      <c r="L403" s="54"/>
      <c r="M403" s="54"/>
      <c r="N403" s="54"/>
    </row>
    <row r="404" spans="1:14" x14ac:dyDescent="0.3">
      <c r="A404" s="54"/>
      <c r="B404" s="54"/>
      <c r="C404" s="54"/>
      <c r="D404" s="54"/>
      <c r="E404" s="54"/>
      <c r="F404" s="54"/>
      <c r="G404" s="54"/>
      <c r="H404" s="54"/>
      <c r="I404" s="121"/>
      <c r="J404" s="54"/>
      <c r="K404" s="54"/>
      <c r="L404" s="54"/>
      <c r="M404" s="54"/>
      <c r="N404" s="54"/>
    </row>
    <row r="405" spans="1:14" x14ac:dyDescent="0.3">
      <c r="A405" s="54"/>
      <c r="B405" s="54"/>
      <c r="C405" s="54"/>
      <c r="D405" s="54"/>
      <c r="E405" s="54"/>
      <c r="F405" s="54"/>
      <c r="G405" s="54"/>
      <c r="H405" s="54"/>
      <c r="I405" s="121"/>
      <c r="J405" s="54"/>
      <c r="K405" s="54"/>
      <c r="L405" s="54"/>
      <c r="M405" s="54"/>
      <c r="N405" s="54"/>
    </row>
    <row r="406" spans="1:14" x14ac:dyDescent="0.3">
      <c r="A406" s="54"/>
      <c r="B406" s="54"/>
      <c r="C406" s="54"/>
      <c r="D406" s="54"/>
      <c r="E406" s="54"/>
      <c r="F406" s="54"/>
      <c r="G406" s="54"/>
      <c r="H406" s="54"/>
      <c r="I406" s="121"/>
      <c r="J406" s="54"/>
      <c r="K406" s="54"/>
      <c r="L406" s="54"/>
      <c r="M406" s="54"/>
      <c r="N406" s="54"/>
    </row>
    <row r="407" spans="1:14" x14ac:dyDescent="0.3">
      <c r="A407" s="54"/>
      <c r="B407" s="54"/>
      <c r="C407" s="54"/>
      <c r="D407" s="54"/>
      <c r="E407" s="54"/>
      <c r="F407" s="54"/>
      <c r="G407" s="54"/>
      <c r="H407" s="54"/>
      <c r="I407" s="121"/>
      <c r="J407" s="54"/>
      <c r="K407" s="54"/>
      <c r="L407" s="54"/>
      <c r="M407" s="54"/>
      <c r="N407" s="54"/>
    </row>
    <row r="408" spans="1:14" x14ac:dyDescent="0.3">
      <c r="A408" s="54"/>
      <c r="B408" s="54"/>
      <c r="C408" s="54"/>
      <c r="D408" s="54"/>
      <c r="E408" s="54"/>
      <c r="F408" s="54"/>
      <c r="G408" s="54"/>
      <c r="H408" s="54"/>
      <c r="I408" s="121"/>
      <c r="J408" s="54"/>
      <c r="K408" s="54"/>
      <c r="L408" s="54"/>
      <c r="M408" s="54"/>
      <c r="N408" s="54"/>
    </row>
    <row r="409" spans="1:14" x14ac:dyDescent="0.3">
      <c r="A409" s="54"/>
      <c r="B409" s="54"/>
      <c r="C409" s="54"/>
      <c r="D409" s="54"/>
      <c r="E409" s="54"/>
      <c r="F409" s="54"/>
      <c r="G409" s="54"/>
      <c r="H409" s="54"/>
      <c r="I409" s="121"/>
      <c r="J409" s="54"/>
      <c r="K409" s="54"/>
      <c r="L409" s="54"/>
      <c r="M409" s="54"/>
      <c r="N409" s="54"/>
    </row>
    <row r="410" spans="1:14" x14ac:dyDescent="0.3">
      <c r="A410" s="54"/>
      <c r="B410" s="54"/>
      <c r="C410" s="54"/>
      <c r="D410" s="54"/>
      <c r="E410" s="54"/>
      <c r="F410" s="54"/>
      <c r="G410" s="54"/>
      <c r="H410" s="54"/>
      <c r="I410" s="121"/>
      <c r="J410" s="54"/>
      <c r="K410" s="54"/>
      <c r="L410" s="54"/>
      <c r="M410" s="54"/>
      <c r="N410" s="54"/>
    </row>
    <row r="411" spans="1:14" x14ac:dyDescent="0.3">
      <c r="A411" s="54"/>
      <c r="B411" s="54"/>
      <c r="C411" s="54"/>
      <c r="D411" s="54"/>
      <c r="E411" s="54"/>
      <c r="F411" s="54"/>
      <c r="G411" s="54"/>
      <c r="H411" s="54"/>
      <c r="I411" s="121"/>
      <c r="J411" s="54"/>
      <c r="K411" s="54"/>
      <c r="L411" s="54"/>
      <c r="M411" s="54"/>
      <c r="N411" s="54"/>
    </row>
    <row r="412" spans="1:14" x14ac:dyDescent="0.3">
      <c r="A412" s="54"/>
      <c r="B412" s="54"/>
      <c r="C412" s="54"/>
      <c r="D412" s="54"/>
      <c r="E412" s="54"/>
      <c r="F412" s="54"/>
      <c r="G412" s="54"/>
      <c r="H412" s="54"/>
      <c r="I412" s="121"/>
      <c r="J412" s="54"/>
      <c r="K412" s="54"/>
      <c r="L412" s="54"/>
      <c r="M412" s="54"/>
      <c r="N412" s="54"/>
    </row>
    <row r="413" spans="1:14" x14ac:dyDescent="0.3">
      <c r="A413" s="54"/>
      <c r="B413" s="54"/>
      <c r="C413" s="54"/>
      <c r="D413" s="54"/>
      <c r="E413" s="54"/>
      <c r="F413" s="54"/>
      <c r="G413" s="54"/>
      <c r="H413" s="54"/>
      <c r="I413" s="121"/>
      <c r="J413" s="54"/>
      <c r="K413" s="54"/>
      <c r="L413" s="54"/>
      <c r="M413" s="54"/>
      <c r="N413" s="54"/>
    </row>
    <row r="414" spans="1:14" x14ac:dyDescent="0.3">
      <c r="A414" s="54"/>
      <c r="B414" s="54"/>
      <c r="C414" s="54"/>
      <c r="D414" s="54"/>
      <c r="E414" s="54"/>
      <c r="F414" s="54"/>
      <c r="G414" s="54"/>
      <c r="H414" s="54"/>
      <c r="I414" s="121"/>
      <c r="J414" s="54"/>
      <c r="K414" s="54"/>
      <c r="L414" s="54"/>
      <c r="M414" s="54"/>
      <c r="N414" s="54"/>
    </row>
    <row r="415" spans="1:14" x14ac:dyDescent="0.3">
      <c r="A415" s="54"/>
      <c r="B415" s="54"/>
      <c r="C415" s="54"/>
      <c r="D415" s="54"/>
      <c r="E415" s="54"/>
      <c r="F415" s="54"/>
      <c r="G415" s="54"/>
      <c r="H415" s="54"/>
      <c r="I415" s="121"/>
      <c r="J415" s="54"/>
      <c r="K415" s="54"/>
      <c r="L415" s="54"/>
      <c r="M415" s="54"/>
      <c r="N415" s="54"/>
    </row>
    <row r="416" spans="1:14" x14ac:dyDescent="0.3">
      <c r="A416" s="54"/>
      <c r="B416" s="54"/>
      <c r="C416" s="54"/>
      <c r="D416" s="54"/>
      <c r="E416" s="54"/>
      <c r="F416" s="54"/>
      <c r="G416" s="54"/>
      <c r="H416" s="54"/>
      <c r="I416" s="121"/>
      <c r="J416" s="54"/>
      <c r="K416" s="54"/>
      <c r="L416" s="54"/>
      <c r="M416" s="54"/>
      <c r="N416" s="54"/>
    </row>
    <row r="417" spans="1:14" x14ac:dyDescent="0.3">
      <c r="A417" s="54"/>
      <c r="B417" s="54"/>
      <c r="C417" s="54"/>
      <c r="D417" s="54"/>
      <c r="E417" s="54"/>
      <c r="F417" s="54"/>
      <c r="G417" s="54"/>
      <c r="H417" s="54"/>
      <c r="I417" s="121"/>
      <c r="J417" s="54"/>
      <c r="K417" s="54"/>
      <c r="L417" s="54"/>
      <c r="M417" s="54"/>
      <c r="N417" s="54"/>
    </row>
    <row r="418" spans="1:14" x14ac:dyDescent="0.3">
      <c r="A418" s="54"/>
      <c r="B418" s="54"/>
      <c r="C418" s="54"/>
      <c r="D418" s="54"/>
      <c r="E418" s="54"/>
      <c r="F418" s="54"/>
      <c r="G418" s="54"/>
      <c r="H418" s="54"/>
      <c r="I418" s="121"/>
      <c r="J418" s="54"/>
      <c r="K418" s="54"/>
      <c r="L418" s="54"/>
      <c r="M418" s="54"/>
      <c r="N418" s="54"/>
    </row>
    <row r="419" spans="1:14" x14ac:dyDescent="0.3">
      <c r="A419" s="54"/>
      <c r="B419" s="54"/>
      <c r="C419" s="54"/>
      <c r="D419" s="54"/>
      <c r="E419" s="54"/>
      <c r="F419" s="54"/>
      <c r="G419" s="54"/>
      <c r="H419" s="54"/>
      <c r="I419" s="121"/>
      <c r="J419" s="54"/>
      <c r="K419" s="54"/>
      <c r="L419" s="54"/>
      <c r="M419" s="54"/>
      <c r="N419" s="54"/>
    </row>
    <row r="420" spans="1:14" x14ac:dyDescent="0.3">
      <c r="A420" s="54"/>
      <c r="B420" s="54"/>
      <c r="C420" s="54"/>
      <c r="D420" s="54"/>
      <c r="E420" s="54"/>
      <c r="F420" s="54"/>
      <c r="G420" s="54"/>
      <c r="H420" s="54"/>
      <c r="I420" s="121"/>
      <c r="J420" s="54"/>
      <c r="K420" s="54"/>
      <c r="L420" s="54"/>
      <c r="M420" s="54"/>
      <c r="N420" s="54"/>
    </row>
    <row r="421" spans="1:14" x14ac:dyDescent="0.3">
      <c r="A421" s="54"/>
      <c r="B421" s="54"/>
      <c r="C421" s="54"/>
      <c r="D421" s="54"/>
      <c r="E421" s="54"/>
      <c r="F421" s="54"/>
      <c r="G421" s="54"/>
      <c r="H421" s="54"/>
      <c r="I421" s="121"/>
      <c r="J421" s="54"/>
      <c r="K421" s="54"/>
      <c r="L421" s="54"/>
      <c r="M421" s="54"/>
      <c r="N421" s="54"/>
    </row>
    <row r="422" spans="1:14" x14ac:dyDescent="0.3">
      <c r="A422" s="54"/>
      <c r="B422" s="54"/>
      <c r="C422" s="54"/>
      <c r="D422" s="54"/>
      <c r="E422" s="54"/>
      <c r="F422" s="54"/>
      <c r="G422" s="54"/>
      <c r="H422" s="54"/>
      <c r="I422" s="121"/>
      <c r="J422" s="54"/>
      <c r="K422" s="54"/>
      <c r="L422" s="54"/>
      <c r="M422" s="54"/>
      <c r="N422" s="54"/>
    </row>
    <row r="423" spans="1:14" x14ac:dyDescent="0.3">
      <c r="A423" s="54"/>
      <c r="B423" s="54"/>
      <c r="C423" s="54"/>
      <c r="D423" s="54"/>
      <c r="E423" s="54"/>
      <c r="F423" s="54"/>
      <c r="G423" s="54"/>
      <c r="H423" s="54"/>
      <c r="I423" s="121"/>
      <c r="J423" s="54"/>
      <c r="K423" s="54"/>
      <c r="L423" s="54"/>
      <c r="M423" s="54"/>
      <c r="N423" s="54"/>
    </row>
    <row r="424" spans="1:14" x14ac:dyDescent="0.3">
      <c r="A424" s="54"/>
      <c r="B424" s="54"/>
      <c r="C424" s="54"/>
      <c r="D424" s="54"/>
      <c r="E424" s="54"/>
      <c r="F424" s="54"/>
      <c r="G424" s="54"/>
      <c r="H424" s="54"/>
      <c r="I424" s="121"/>
      <c r="J424" s="54"/>
      <c r="K424" s="54"/>
      <c r="L424" s="54"/>
      <c r="M424" s="54"/>
      <c r="N424" s="54"/>
    </row>
    <row r="425" spans="1:14" x14ac:dyDescent="0.3">
      <c r="A425" s="54"/>
      <c r="B425" s="54"/>
      <c r="C425" s="54"/>
      <c r="D425" s="54"/>
      <c r="E425" s="54"/>
      <c r="F425" s="54"/>
      <c r="G425" s="54"/>
      <c r="H425" s="54"/>
      <c r="I425" s="121"/>
      <c r="J425" s="54"/>
      <c r="K425" s="54"/>
      <c r="L425" s="54"/>
      <c r="M425" s="54"/>
      <c r="N425" s="54"/>
    </row>
    <row r="426" spans="1:14" x14ac:dyDescent="0.3">
      <c r="A426" s="54"/>
      <c r="B426" s="54"/>
      <c r="C426" s="54"/>
      <c r="D426" s="54"/>
      <c r="E426" s="54"/>
      <c r="F426" s="54"/>
      <c r="G426" s="54"/>
      <c r="H426" s="54"/>
      <c r="I426" s="121"/>
      <c r="J426" s="54"/>
      <c r="K426" s="54"/>
      <c r="L426" s="54"/>
      <c r="M426" s="54"/>
      <c r="N426" s="54"/>
    </row>
    <row r="427" spans="1:14" x14ac:dyDescent="0.3">
      <c r="A427" s="54"/>
      <c r="B427" s="54"/>
      <c r="C427" s="54"/>
      <c r="D427" s="54"/>
      <c r="E427" s="54"/>
      <c r="F427" s="54"/>
      <c r="G427" s="54"/>
      <c r="H427" s="54"/>
      <c r="I427" s="121"/>
      <c r="J427" s="54"/>
      <c r="K427" s="54"/>
      <c r="L427" s="54"/>
      <c r="M427" s="54"/>
      <c r="N427" s="54"/>
    </row>
    <row r="428" spans="1:14" x14ac:dyDescent="0.3">
      <c r="A428" s="54"/>
      <c r="B428" s="54"/>
      <c r="C428" s="54"/>
      <c r="D428" s="54"/>
      <c r="E428" s="54"/>
      <c r="F428" s="54"/>
      <c r="G428" s="54"/>
      <c r="H428" s="54"/>
      <c r="I428" s="121"/>
      <c r="J428" s="54"/>
      <c r="K428" s="54"/>
      <c r="L428" s="54"/>
      <c r="M428" s="54"/>
      <c r="N428" s="54"/>
    </row>
    <row r="429" spans="1:14" x14ac:dyDescent="0.3">
      <c r="A429" s="54"/>
      <c r="B429" s="54"/>
      <c r="C429" s="54"/>
      <c r="D429" s="54"/>
      <c r="E429" s="54"/>
      <c r="F429" s="54"/>
      <c r="G429" s="54"/>
      <c r="H429" s="54"/>
      <c r="I429" s="121"/>
      <c r="J429" s="54"/>
      <c r="K429" s="54"/>
      <c r="L429" s="54"/>
      <c r="M429" s="54"/>
      <c r="N429" s="54"/>
    </row>
    <row r="430" spans="1:14" x14ac:dyDescent="0.3">
      <c r="A430" s="54"/>
      <c r="B430" s="54"/>
      <c r="C430" s="54"/>
      <c r="D430" s="54"/>
      <c r="E430" s="54"/>
      <c r="F430" s="54"/>
      <c r="G430" s="54"/>
      <c r="H430" s="54"/>
      <c r="I430" s="121"/>
      <c r="J430" s="54"/>
      <c r="K430" s="54"/>
      <c r="L430" s="54"/>
      <c r="M430" s="54"/>
      <c r="N430" s="54"/>
    </row>
    <row r="431" spans="1:14" x14ac:dyDescent="0.3">
      <c r="A431" s="54"/>
      <c r="B431" s="54"/>
      <c r="C431" s="54"/>
      <c r="D431" s="54"/>
      <c r="E431" s="54"/>
      <c r="F431" s="54"/>
      <c r="G431" s="54"/>
      <c r="H431" s="54"/>
      <c r="I431" s="121"/>
      <c r="J431" s="54"/>
      <c r="K431" s="54"/>
      <c r="L431" s="54"/>
      <c r="M431" s="54"/>
      <c r="N431" s="54"/>
    </row>
    <row r="432" spans="1:14" x14ac:dyDescent="0.3">
      <c r="A432" s="54"/>
      <c r="B432" s="54"/>
      <c r="C432" s="54"/>
      <c r="D432" s="54"/>
      <c r="E432" s="54"/>
      <c r="F432" s="54"/>
      <c r="G432" s="54"/>
      <c r="H432" s="54"/>
      <c r="I432" s="121"/>
      <c r="J432" s="54"/>
      <c r="K432" s="54"/>
      <c r="L432" s="54"/>
      <c r="M432" s="54"/>
      <c r="N432" s="54"/>
    </row>
    <row r="433" spans="1:14" x14ac:dyDescent="0.3">
      <c r="A433" s="54"/>
      <c r="B433" s="54"/>
      <c r="C433" s="54"/>
      <c r="D433" s="54"/>
      <c r="E433" s="54"/>
      <c r="F433" s="54"/>
      <c r="G433" s="54"/>
      <c r="H433" s="54"/>
      <c r="I433" s="121"/>
      <c r="J433" s="54"/>
      <c r="K433" s="54"/>
      <c r="L433" s="54"/>
      <c r="M433" s="54"/>
      <c r="N433" s="54"/>
    </row>
    <row r="434" spans="1:14" x14ac:dyDescent="0.3">
      <c r="A434" s="54"/>
      <c r="B434" s="54"/>
      <c r="C434" s="54"/>
      <c r="D434" s="54"/>
      <c r="E434" s="54"/>
      <c r="F434" s="54"/>
      <c r="G434" s="54"/>
      <c r="H434" s="54"/>
      <c r="I434" s="121"/>
      <c r="J434" s="54"/>
      <c r="K434" s="54"/>
      <c r="L434" s="54"/>
      <c r="M434" s="54"/>
      <c r="N434" s="54"/>
    </row>
    <row r="435" spans="1:14" x14ac:dyDescent="0.3">
      <c r="A435" s="54"/>
      <c r="B435" s="54"/>
      <c r="C435" s="54"/>
      <c r="D435" s="54"/>
      <c r="E435" s="54"/>
      <c r="F435" s="54"/>
      <c r="G435" s="54"/>
      <c r="H435" s="54"/>
      <c r="I435" s="121"/>
      <c r="J435" s="54"/>
      <c r="K435" s="54"/>
      <c r="L435" s="54"/>
      <c r="M435" s="54"/>
      <c r="N435" s="54"/>
    </row>
    <row r="436" spans="1:14" x14ac:dyDescent="0.3">
      <c r="A436" s="54"/>
      <c r="B436" s="54"/>
      <c r="C436" s="54"/>
      <c r="D436" s="54"/>
      <c r="E436" s="54"/>
      <c r="F436" s="54"/>
      <c r="G436" s="54"/>
      <c r="H436" s="54"/>
      <c r="I436" s="121"/>
      <c r="J436" s="54"/>
      <c r="K436" s="54"/>
      <c r="L436" s="54"/>
      <c r="M436" s="54"/>
      <c r="N436" s="54"/>
    </row>
    <row r="437" spans="1:14" x14ac:dyDescent="0.3">
      <c r="A437" s="54"/>
      <c r="B437" s="54"/>
      <c r="C437" s="54"/>
      <c r="D437" s="54"/>
      <c r="E437" s="54"/>
      <c r="F437" s="54"/>
      <c r="G437" s="54"/>
      <c r="H437" s="54"/>
      <c r="I437" s="121"/>
      <c r="J437" s="54"/>
      <c r="K437" s="54"/>
      <c r="L437" s="54"/>
      <c r="M437" s="54"/>
      <c r="N437" s="54"/>
    </row>
    <row r="438" spans="1:14" x14ac:dyDescent="0.3">
      <c r="A438" s="54"/>
      <c r="B438" s="54"/>
      <c r="C438" s="54"/>
      <c r="D438" s="54"/>
      <c r="E438" s="54"/>
      <c r="F438" s="54"/>
      <c r="G438" s="54"/>
      <c r="H438" s="54"/>
      <c r="I438" s="121"/>
      <c r="J438" s="54"/>
      <c r="K438" s="54"/>
      <c r="L438" s="54"/>
      <c r="M438" s="54"/>
      <c r="N438" s="54"/>
    </row>
    <row r="439" spans="1:14" x14ac:dyDescent="0.3">
      <c r="A439" s="54"/>
      <c r="B439" s="54"/>
      <c r="C439" s="54"/>
      <c r="D439" s="54"/>
      <c r="E439" s="54"/>
      <c r="F439" s="54"/>
      <c r="G439" s="54"/>
      <c r="H439" s="54"/>
      <c r="I439" s="121"/>
      <c r="J439" s="54"/>
      <c r="K439" s="54"/>
      <c r="L439" s="54"/>
      <c r="M439" s="54"/>
      <c r="N439" s="54"/>
    </row>
    <row r="440" spans="1:14" x14ac:dyDescent="0.3">
      <c r="A440" s="54"/>
      <c r="B440" s="54"/>
      <c r="C440" s="54"/>
      <c r="D440" s="54"/>
      <c r="E440" s="54"/>
      <c r="F440" s="54"/>
      <c r="G440" s="54"/>
      <c r="H440" s="54"/>
      <c r="I440" s="121"/>
      <c r="J440" s="54"/>
      <c r="K440" s="54"/>
      <c r="L440" s="54"/>
      <c r="M440" s="54"/>
      <c r="N440" s="54"/>
    </row>
    <row r="441" spans="1:14" x14ac:dyDescent="0.3">
      <c r="A441" s="54"/>
      <c r="B441" s="54"/>
      <c r="C441" s="54"/>
      <c r="D441" s="54"/>
      <c r="E441" s="54"/>
      <c r="F441" s="54"/>
      <c r="G441" s="54"/>
      <c r="H441" s="54"/>
      <c r="I441" s="121"/>
      <c r="J441" s="54"/>
      <c r="K441" s="54"/>
      <c r="L441" s="54"/>
      <c r="M441" s="54"/>
      <c r="N441" s="54"/>
    </row>
    <row r="442" spans="1:14" x14ac:dyDescent="0.3">
      <c r="A442" s="54"/>
      <c r="B442" s="54"/>
      <c r="C442" s="54"/>
      <c r="D442" s="54"/>
      <c r="E442" s="54"/>
      <c r="F442" s="54"/>
      <c r="G442" s="54"/>
      <c r="H442" s="54"/>
      <c r="I442" s="121"/>
      <c r="J442" s="54"/>
      <c r="K442" s="54"/>
      <c r="L442" s="54"/>
      <c r="M442" s="54"/>
      <c r="N442" s="54"/>
    </row>
    <row r="443" spans="1:14" x14ac:dyDescent="0.3">
      <c r="A443" s="54"/>
      <c r="B443" s="54"/>
      <c r="C443" s="54"/>
      <c r="D443" s="54"/>
      <c r="E443" s="54"/>
      <c r="F443" s="54"/>
      <c r="G443" s="54"/>
      <c r="H443" s="54"/>
      <c r="I443" s="121"/>
      <c r="J443" s="54"/>
      <c r="K443" s="54"/>
      <c r="L443" s="54"/>
      <c r="M443" s="54"/>
      <c r="N443" s="54"/>
    </row>
    <row r="444" spans="1:14" x14ac:dyDescent="0.3">
      <c r="A444" s="54"/>
      <c r="B444" s="54"/>
      <c r="C444" s="54"/>
      <c r="D444" s="54"/>
      <c r="E444" s="54"/>
      <c r="F444" s="54"/>
      <c r="G444" s="54"/>
      <c r="H444" s="54"/>
      <c r="I444" s="121"/>
      <c r="J444" s="54"/>
      <c r="K444" s="54"/>
      <c r="L444" s="54"/>
      <c r="M444" s="54"/>
      <c r="N444" s="54"/>
    </row>
    <row r="445" spans="1:14" x14ac:dyDescent="0.3">
      <c r="A445" s="54"/>
      <c r="B445" s="54"/>
      <c r="C445" s="54"/>
      <c r="D445" s="54"/>
      <c r="E445" s="54"/>
      <c r="F445" s="54"/>
      <c r="G445" s="54"/>
      <c r="H445" s="54"/>
      <c r="I445" s="121"/>
      <c r="J445" s="54"/>
      <c r="K445" s="54"/>
      <c r="L445" s="54"/>
      <c r="M445" s="54"/>
      <c r="N445" s="54"/>
    </row>
    <row r="446" spans="1:14" x14ac:dyDescent="0.3">
      <c r="A446" s="54"/>
      <c r="B446" s="54"/>
      <c r="C446" s="54"/>
      <c r="D446" s="54"/>
      <c r="E446" s="54"/>
      <c r="F446" s="54"/>
      <c r="G446" s="54"/>
      <c r="H446" s="54"/>
      <c r="I446" s="121"/>
      <c r="J446" s="54"/>
      <c r="K446" s="54"/>
      <c r="L446" s="54"/>
      <c r="M446" s="54"/>
      <c r="N446" s="54"/>
    </row>
    <row r="447" spans="1:14" x14ac:dyDescent="0.3">
      <c r="A447" s="54"/>
      <c r="B447" s="54"/>
      <c r="C447" s="54"/>
      <c r="D447" s="54"/>
      <c r="E447" s="54"/>
      <c r="F447" s="54"/>
      <c r="G447" s="54"/>
      <c r="H447" s="54"/>
      <c r="I447" s="121"/>
      <c r="J447" s="54"/>
      <c r="K447" s="54"/>
      <c r="L447" s="54"/>
      <c r="M447" s="54"/>
      <c r="N447" s="54"/>
    </row>
    <row r="448" spans="1:14" x14ac:dyDescent="0.3">
      <c r="A448" s="54"/>
      <c r="B448" s="54"/>
      <c r="C448" s="54"/>
      <c r="D448" s="54"/>
      <c r="E448" s="54"/>
      <c r="F448" s="54"/>
      <c r="G448" s="54"/>
      <c r="H448" s="54"/>
      <c r="I448" s="121"/>
      <c r="J448" s="54"/>
      <c r="K448" s="54"/>
      <c r="L448" s="54"/>
      <c r="M448" s="54"/>
      <c r="N448" s="54"/>
    </row>
    <row r="449" spans="1:14" x14ac:dyDescent="0.3">
      <c r="A449" s="54"/>
      <c r="B449" s="54"/>
      <c r="C449" s="54"/>
      <c r="D449" s="54"/>
      <c r="E449" s="54"/>
      <c r="F449" s="54"/>
      <c r="G449" s="54"/>
      <c r="H449" s="54"/>
      <c r="I449" s="121"/>
      <c r="J449" s="54"/>
      <c r="K449" s="54"/>
      <c r="L449" s="54"/>
      <c r="M449" s="54"/>
      <c r="N449" s="54"/>
    </row>
    <row r="450" spans="1:14" x14ac:dyDescent="0.3">
      <c r="A450" s="54"/>
      <c r="B450" s="54"/>
      <c r="C450" s="54"/>
      <c r="D450" s="54"/>
      <c r="E450" s="54"/>
      <c r="F450" s="54"/>
      <c r="G450" s="54"/>
      <c r="H450" s="54"/>
      <c r="I450" s="121"/>
      <c r="J450" s="54"/>
      <c r="K450" s="54"/>
      <c r="L450" s="54"/>
      <c r="M450" s="54"/>
      <c r="N450" s="54"/>
    </row>
    <row r="451" spans="1:14" x14ac:dyDescent="0.3">
      <c r="A451" s="54"/>
      <c r="B451" s="54"/>
      <c r="C451" s="54"/>
      <c r="D451" s="54"/>
      <c r="E451" s="54"/>
      <c r="F451" s="54"/>
      <c r="G451" s="54"/>
      <c r="H451" s="54"/>
      <c r="I451" s="121"/>
      <c r="J451" s="54"/>
      <c r="K451" s="54"/>
      <c r="L451" s="54"/>
      <c r="M451" s="54"/>
      <c r="N451" s="54"/>
    </row>
    <row r="452" spans="1:14" x14ac:dyDescent="0.3">
      <c r="A452" s="54"/>
      <c r="B452" s="54"/>
      <c r="C452" s="54"/>
      <c r="D452" s="54"/>
      <c r="E452" s="54"/>
      <c r="F452" s="54"/>
      <c r="G452" s="54"/>
      <c r="H452" s="54"/>
      <c r="I452" s="121"/>
      <c r="J452" s="54"/>
      <c r="K452" s="54"/>
      <c r="L452" s="54"/>
      <c r="M452" s="54"/>
      <c r="N452" s="54"/>
    </row>
    <row r="453" spans="1:14" x14ac:dyDescent="0.3">
      <c r="A453" s="54"/>
      <c r="B453" s="54"/>
      <c r="C453" s="54"/>
      <c r="D453" s="54"/>
      <c r="E453" s="54"/>
      <c r="F453" s="54"/>
      <c r="G453" s="54"/>
      <c r="H453" s="54"/>
      <c r="I453" s="121"/>
      <c r="J453" s="54"/>
      <c r="K453" s="54"/>
      <c r="L453" s="54"/>
      <c r="M453" s="54"/>
      <c r="N453" s="54"/>
    </row>
    <row r="454" spans="1:14" x14ac:dyDescent="0.3">
      <c r="A454" s="54"/>
      <c r="B454" s="54"/>
      <c r="C454" s="54"/>
      <c r="D454" s="54"/>
      <c r="E454" s="54"/>
      <c r="F454" s="54"/>
      <c r="G454" s="54"/>
      <c r="H454" s="54"/>
      <c r="I454" s="121"/>
      <c r="J454" s="54"/>
      <c r="K454" s="54"/>
      <c r="L454" s="54"/>
      <c r="M454" s="54"/>
      <c r="N454" s="54"/>
    </row>
    <row r="455" spans="1:14" x14ac:dyDescent="0.3">
      <c r="A455" s="54"/>
      <c r="B455" s="54"/>
      <c r="C455" s="54"/>
      <c r="D455" s="54"/>
      <c r="E455" s="54"/>
      <c r="F455" s="54"/>
      <c r="G455" s="54"/>
      <c r="H455" s="54"/>
      <c r="I455" s="121"/>
      <c r="J455" s="54"/>
      <c r="K455" s="54"/>
      <c r="L455" s="54"/>
      <c r="M455" s="54"/>
      <c r="N455" s="54"/>
    </row>
    <row r="456" spans="1:14" x14ac:dyDescent="0.3">
      <c r="A456" s="54"/>
      <c r="B456" s="54"/>
      <c r="C456" s="54"/>
      <c r="D456" s="54"/>
      <c r="E456" s="54"/>
      <c r="F456" s="54"/>
      <c r="G456" s="54"/>
      <c r="H456" s="54"/>
      <c r="I456" s="121"/>
      <c r="J456" s="54"/>
      <c r="K456" s="54"/>
      <c r="L456" s="54"/>
      <c r="M456" s="54"/>
      <c r="N456" s="54"/>
    </row>
    <row r="457" spans="1:14" x14ac:dyDescent="0.3">
      <c r="B457" s="54"/>
      <c r="C457" s="54"/>
      <c r="D457" s="54"/>
      <c r="E457" s="54"/>
      <c r="F457" s="54"/>
      <c r="G457" s="54"/>
      <c r="H457" s="54"/>
      <c r="I457" s="121"/>
      <c r="J457" s="54"/>
      <c r="K457" s="54"/>
      <c r="L457" s="54"/>
      <c r="M457" s="54"/>
      <c r="N457" s="54"/>
    </row>
    <row r="458" spans="1:14" x14ac:dyDescent="0.3">
      <c r="B458" s="54"/>
      <c r="C458" s="54"/>
      <c r="D458" s="54"/>
      <c r="E458" s="54"/>
      <c r="F458" s="54"/>
      <c r="G458" s="54"/>
      <c r="H458" s="54"/>
      <c r="I458" s="121"/>
      <c r="J458" s="54"/>
      <c r="K458" s="54"/>
      <c r="L458" s="54"/>
      <c r="M458" s="54"/>
      <c r="N458" s="54"/>
    </row>
    <row r="459" spans="1:14" x14ac:dyDescent="0.3">
      <c r="B459" s="54"/>
      <c r="C459" s="54"/>
      <c r="D459" s="54"/>
      <c r="E459" s="54"/>
      <c r="F459" s="54"/>
      <c r="G459" s="54"/>
      <c r="H459" s="54"/>
      <c r="I459" s="121"/>
      <c r="J459" s="54"/>
      <c r="K459" s="54"/>
      <c r="L459" s="54"/>
      <c r="M459" s="54"/>
      <c r="N459" s="54"/>
    </row>
  </sheetData>
  <mergeCells count="5">
    <mergeCell ref="E7:G9"/>
    <mergeCell ref="L7:N9"/>
    <mergeCell ref="H7:H12"/>
    <mergeCell ref="B7:D9"/>
    <mergeCell ref="I7:K9"/>
  </mergeCells>
  <phoneticPr fontId="3" type="noConversion"/>
  <pageMargins left="0.39370078740157483" right="0.39370078740157483" top="0.59055118110236227" bottom="0.59055118110236227" header="0.39370078740157483" footer="0.39370078740157483"/>
  <pageSetup paperSize="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6BBF3-D5C5-4DEF-86E8-89300EE052BA}">
  <dimension ref="A1:N85"/>
  <sheetViews>
    <sheetView workbookViewId="0">
      <selection activeCell="N75" sqref="N75"/>
    </sheetView>
  </sheetViews>
  <sheetFormatPr baseColWidth="10" defaultRowHeight="12.75" x14ac:dyDescent="0.35"/>
  <cols>
    <col min="2" max="2" width="24.46484375" customWidth="1"/>
    <col min="3" max="3" width="27.53125" customWidth="1"/>
    <col min="4" max="4" width="28.53125" customWidth="1"/>
    <col min="10" max="10" width="30.265625" customWidth="1"/>
  </cols>
  <sheetData>
    <row r="1" spans="1:14" x14ac:dyDescent="0.35">
      <c r="A1" t="s">
        <v>116</v>
      </c>
      <c r="B1" t="s">
        <v>117</v>
      </c>
      <c r="C1" t="s">
        <v>118</v>
      </c>
      <c r="D1" t="s">
        <v>119</v>
      </c>
      <c r="E1" t="s">
        <v>120</v>
      </c>
      <c r="F1" t="s">
        <v>121</v>
      </c>
      <c r="G1" t="s">
        <v>122</v>
      </c>
      <c r="H1" t="s">
        <v>123</v>
      </c>
      <c r="I1" t="s">
        <v>124</v>
      </c>
      <c r="J1" t="s">
        <v>125</v>
      </c>
      <c r="K1" t="s">
        <v>127</v>
      </c>
      <c r="L1" t="s">
        <v>128</v>
      </c>
      <c r="M1" t="s">
        <v>129</v>
      </c>
      <c r="N1" t="s">
        <v>130</v>
      </c>
    </row>
    <row r="2" spans="1:14" hidden="1" x14ac:dyDescent="0.35">
      <c r="A2">
        <v>1942</v>
      </c>
      <c r="B2">
        <v>87</v>
      </c>
      <c r="C2">
        <v>125</v>
      </c>
    </row>
    <row r="3" spans="1:14" hidden="1" x14ac:dyDescent="0.35">
      <c r="A3">
        <v>1943</v>
      </c>
      <c r="B3">
        <v>90</v>
      </c>
      <c r="C3">
        <v>134</v>
      </c>
    </row>
    <row r="4" spans="1:14" hidden="1" x14ac:dyDescent="0.35">
      <c r="A4">
        <v>1944</v>
      </c>
      <c r="B4">
        <v>94</v>
      </c>
      <c r="C4">
        <v>143</v>
      </c>
    </row>
    <row r="5" spans="1:14" hidden="1" x14ac:dyDescent="0.35">
      <c r="A5">
        <v>1945</v>
      </c>
      <c r="B5">
        <v>101</v>
      </c>
      <c r="C5">
        <v>153</v>
      </c>
    </row>
    <row r="6" spans="1:14" hidden="1" x14ac:dyDescent="0.35">
      <c r="A6">
        <v>1946</v>
      </c>
      <c r="B6">
        <v>110</v>
      </c>
      <c r="C6">
        <v>169</v>
      </c>
    </row>
    <row r="7" spans="1:14" hidden="1" x14ac:dyDescent="0.35">
      <c r="A7">
        <v>1947</v>
      </c>
      <c r="B7">
        <v>113</v>
      </c>
      <c r="C7">
        <v>183</v>
      </c>
    </row>
    <row r="8" spans="1:14" hidden="1" x14ac:dyDescent="0.35">
      <c r="A8">
        <v>1948</v>
      </c>
      <c r="B8">
        <v>119</v>
      </c>
      <c r="C8">
        <v>193</v>
      </c>
    </row>
    <row r="9" spans="1:14" hidden="1" x14ac:dyDescent="0.35">
      <c r="A9">
        <v>1949</v>
      </c>
      <c r="B9">
        <v>121</v>
      </c>
      <c r="C9">
        <v>195</v>
      </c>
    </row>
    <row r="10" spans="1:14" hidden="1" x14ac:dyDescent="0.35">
      <c r="A10">
        <v>1950</v>
      </c>
      <c r="B10">
        <v>123</v>
      </c>
      <c r="C10">
        <v>197</v>
      </c>
    </row>
    <row r="11" spans="1:14" hidden="1" x14ac:dyDescent="0.35">
      <c r="A11">
        <v>1951</v>
      </c>
      <c r="B11">
        <v>121</v>
      </c>
      <c r="C11">
        <v>206</v>
      </c>
    </row>
    <row r="12" spans="1:14" hidden="1" x14ac:dyDescent="0.35">
      <c r="A12">
        <v>1952</v>
      </c>
      <c r="B12">
        <v>124</v>
      </c>
      <c r="C12">
        <v>212</v>
      </c>
    </row>
    <row r="13" spans="1:14" hidden="1" x14ac:dyDescent="0.35">
      <c r="A13">
        <v>1953</v>
      </c>
      <c r="B13">
        <v>126</v>
      </c>
      <c r="C13">
        <v>215</v>
      </c>
    </row>
    <row r="14" spans="1:14" hidden="1" x14ac:dyDescent="0.35">
      <c r="A14">
        <v>1954</v>
      </c>
      <c r="B14">
        <v>126</v>
      </c>
      <c r="C14">
        <v>218</v>
      </c>
    </row>
    <row r="15" spans="1:14" hidden="1" x14ac:dyDescent="0.35">
      <c r="A15">
        <v>1955</v>
      </c>
      <c r="B15">
        <v>129</v>
      </c>
      <c r="C15">
        <v>224</v>
      </c>
    </row>
    <row r="16" spans="1:14" hidden="1" x14ac:dyDescent="0.35">
      <c r="A16">
        <v>1956</v>
      </c>
      <c r="B16">
        <v>132</v>
      </c>
      <c r="C16">
        <v>233</v>
      </c>
    </row>
    <row r="17" spans="1:6" hidden="1" x14ac:dyDescent="0.35">
      <c r="A17">
        <v>1957</v>
      </c>
      <c r="B17">
        <v>135</v>
      </c>
      <c r="C17">
        <v>244</v>
      </c>
    </row>
    <row r="18" spans="1:6" hidden="1" x14ac:dyDescent="0.35">
      <c r="A18">
        <v>1958</v>
      </c>
      <c r="B18">
        <v>138</v>
      </c>
      <c r="C18">
        <v>252</v>
      </c>
    </row>
    <row r="19" spans="1:6" hidden="1" x14ac:dyDescent="0.35">
      <c r="A19">
        <v>1959</v>
      </c>
      <c r="B19">
        <v>143</v>
      </c>
      <c r="C19">
        <v>260</v>
      </c>
    </row>
    <row r="20" spans="1:6" hidden="1" x14ac:dyDescent="0.35">
      <c r="A20">
        <v>1960</v>
      </c>
      <c r="B20">
        <v>147</v>
      </c>
      <c r="C20">
        <v>272</v>
      </c>
      <c r="D20">
        <v>31.118707178382301</v>
      </c>
      <c r="E20">
        <v>2002.3020946858301</v>
      </c>
      <c r="F20">
        <v>4.4438589788337799</v>
      </c>
    </row>
    <row r="21" spans="1:6" hidden="1" x14ac:dyDescent="0.35">
      <c r="A21">
        <v>1961</v>
      </c>
      <c r="B21">
        <v>153</v>
      </c>
      <c r="C21">
        <v>289</v>
      </c>
      <c r="D21">
        <v>32.132255556799201</v>
      </c>
      <c r="E21">
        <v>2125.3559115489302</v>
      </c>
      <c r="F21">
        <v>4.1929793613585602</v>
      </c>
    </row>
    <row r="22" spans="1:6" hidden="1" x14ac:dyDescent="0.35">
      <c r="A22">
        <v>1962</v>
      </c>
      <c r="B22">
        <v>158</v>
      </c>
      <c r="C22">
        <v>310</v>
      </c>
      <c r="D22">
        <v>33.920921480087301</v>
      </c>
      <c r="E22">
        <v>2306.35129327409</v>
      </c>
      <c r="F22">
        <v>4.10305136108955</v>
      </c>
    </row>
    <row r="23" spans="1:6" hidden="1" x14ac:dyDescent="0.35">
      <c r="A23">
        <v>1963</v>
      </c>
      <c r="B23">
        <v>164</v>
      </c>
      <c r="C23">
        <v>332</v>
      </c>
      <c r="D23">
        <v>35.799562336980003</v>
      </c>
      <c r="E23">
        <v>2486.9239964253202</v>
      </c>
      <c r="F23">
        <v>4.0234194952550997</v>
      </c>
    </row>
    <row r="24" spans="1:6" hidden="1" x14ac:dyDescent="0.35">
      <c r="A24">
        <v>1964</v>
      </c>
      <c r="B24">
        <v>171</v>
      </c>
      <c r="C24">
        <v>358</v>
      </c>
      <c r="D24">
        <v>38.931493113336501</v>
      </c>
      <c r="E24">
        <v>2750.2763994985398</v>
      </c>
      <c r="F24">
        <v>4.0141228756525802</v>
      </c>
    </row>
    <row r="25" spans="1:6" hidden="1" x14ac:dyDescent="0.35">
      <c r="A25">
        <v>1965</v>
      </c>
      <c r="B25">
        <v>176</v>
      </c>
      <c r="C25">
        <v>384</v>
      </c>
      <c r="D25">
        <v>42.586521555032398</v>
      </c>
      <c r="E25">
        <v>3037.1003712186898</v>
      </c>
      <c r="F25">
        <v>4.1388621472084601</v>
      </c>
    </row>
    <row r="26" spans="1:6" hidden="1" x14ac:dyDescent="0.35">
      <c r="A26">
        <v>1966</v>
      </c>
      <c r="B26">
        <v>182</v>
      </c>
      <c r="C26">
        <v>412</v>
      </c>
      <c r="D26">
        <v>49.261579910475398</v>
      </c>
      <c r="E26">
        <v>3544.4691977185198</v>
      </c>
      <c r="F26">
        <v>4.4980694056547001</v>
      </c>
    </row>
    <row r="27" spans="1:6" hidden="1" x14ac:dyDescent="0.35">
      <c r="A27">
        <v>1967</v>
      </c>
      <c r="B27">
        <v>186</v>
      </c>
      <c r="C27">
        <v>439</v>
      </c>
      <c r="D27">
        <v>55.083927608601897</v>
      </c>
      <c r="E27">
        <v>4007.68623709144</v>
      </c>
      <c r="F27">
        <v>4.7247994182413802</v>
      </c>
    </row>
    <row r="28" spans="1:6" hidden="1" x14ac:dyDescent="0.35">
      <c r="A28">
        <v>1968</v>
      </c>
      <c r="B28">
        <v>191</v>
      </c>
      <c r="C28">
        <v>460</v>
      </c>
      <c r="D28">
        <v>59.568011610878798</v>
      </c>
      <c r="E28">
        <v>4383.2525663749102</v>
      </c>
      <c r="F28">
        <v>4.8394352248711403</v>
      </c>
    </row>
    <row r="29" spans="1:6" hidden="1" x14ac:dyDescent="0.35">
      <c r="A29">
        <v>1969</v>
      </c>
      <c r="B29">
        <v>198</v>
      </c>
      <c r="C29">
        <v>488</v>
      </c>
      <c r="D29">
        <v>65.220008601375397</v>
      </c>
      <c r="E29">
        <v>4861.7603211809301</v>
      </c>
      <c r="F29">
        <v>4.9539267659958304</v>
      </c>
    </row>
    <row r="30" spans="1:6" hidden="1" x14ac:dyDescent="0.35">
      <c r="A30">
        <v>1970</v>
      </c>
      <c r="B30">
        <v>207</v>
      </c>
      <c r="C30">
        <v>534</v>
      </c>
      <c r="D30">
        <v>72.712181977453895</v>
      </c>
      <c r="E30">
        <v>5468.2469334324396</v>
      </c>
      <c r="F30">
        <v>5.0022134193630796</v>
      </c>
    </row>
    <row r="31" spans="1:6" hidden="1" x14ac:dyDescent="0.35">
      <c r="A31">
        <v>1971</v>
      </c>
      <c r="B31">
        <v>218</v>
      </c>
      <c r="C31">
        <v>601</v>
      </c>
      <c r="D31">
        <v>85.024103094571899</v>
      </c>
      <c r="E31">
        <v>6471.6946311464399</v>
      </c>
      <c r="F31">
        <v>5.21141477125152</v>
      </c>
    </row>
    <row r="32" spans="1:6" hidden="1" x14ac:dyDescent="0.35">
      <c r="A32">
        <v>1972</v>
      </c>
      <c r="B32">
        <v>226</v>
      </c>
      <c r="C32">
        <v>667</v>
      </c>
      <c r="D32">
        <v>94.653939975134094</v>
      </c>
      <c r="E32">
        <v>7270.5584373700003</v>
      </c>
      <c r="F32">
        <v>5.1667026151018502</v>
      </c>
    </row>
    <row r="33" spans="1:6" hidden="1" x14ac:dyDescent="0.35">
      <c r="A33">
        <v>1973</v>
      </c>
      <c r="B33">
        <v>231</v>
      </c>
      <c r="C33">
        <v>747</v>
      </c>
      <c r="D33">
        <v>106.14335772587</v>
      </c>
      <c r="E33">
        <v>8204.0324053479799</v>
      </c>
      <c r="F33">
        <v>5.2316343453217504</v>
      </c>
    </row>
    <row r="34" spans="1:6" hidden="1" x14ac:dyDescent="0.35">
      <c r="A34">
        <v>1974</v>
      </c>
      <c r="B34">
        <v>236</v>
      </c>
      <c r="C34">
        <v>838</v>
      </c>
      <c r="D34">
        <v>122.067853787031</v>
      </c>
      <c r="E34">
        <v>9462.7000255706698</v>
      </c>
      <c r="F34">
        <v>5.5621388209935798</v>
      </c>
    </row>
    <row r="35" spans="1:6" hidden="1" x14ac:dyDescent="0.35">
      <c r="A35">
        <v>1975</v>
      </c>
      <c r="B35">
        <v>242</v>
      </c>
      <c r="C35">
        <v>901</v>
      </c>
      <c r="D35">
        <v>139.20490842117999</v>
      </c>
      <c r="E35">
        <v>10697.6188023508</v>
      </c>
      <c r="F35">
        <v>6.3304165375367498</v>
      </c>
    </row>
    <row r="36" spans="1:6" hidden="1" x14ac:dyDescent="0.35">
      <c r="A36">
        <v>1976</v>
      </c>
      <c r="B36">
        <v>245</v>
      </c>
      <c r="C36">
        <v>920</v>
      </c>
      <c r="D36">
        <v>147.51747509218399</v>
      </c>
      <c r="E36">
        <v>11210.738037105601</v>
      </c>
      <c r="F36">
        <v>6.5497086019469499</v>
      </c>
    </row>
    <row r="37" spans="1:6" hidden="1" x14ac:dyDescent="0.35">
      <c r="A37">
        <v>1977</v>
      </c>
      <c r="B37">
        <v>247</v>
      </c>
      <c r="C37">
        <v>942</v>
      </c>
      <c r="D37">
        <v>152.08863672088</v>
      </c>
      <c r="E37">
        <v>11527.1019543489</v>
      </c>
      <c r="F37">
        <v>6.5576187404382997</v>
      </c>
    </row>
    <row r="38" spans="1:6" hidden="1" x14ac:dyDescent="0.35">
      <c r="A38">
        <v>1978</v>
      </c>
      <c r="B38">
        <v>254</v>
      </c>
      <c r="C38">
        <v>972</v>
      </c>
      <c r="D38">
        <v>157.99913292437699</v>
      </c>
      <c r="E38">
        <v>12007.302105720901</v>
      </c>
      <c r="F38">
        <v>6.5657629487225604</v>
      </c>
    </row>
    <row r="39" spans="1:6" hidden="1" x14ac:dyDescent="0.35">
      <c r="A39">
        <v>1979</v>
      </c>
      <c r="B39">
        <v>250</v>
      </c>
      <c r="C39">
        <v>1004</v>
      </c>
      <c r="D39">
        <v>167.51766182124001</v>
      </c>
      <c r="E39">
        <v>12766.856042720399</v>
      </c>
      <c r="F39">
        <v>6.6785960428148696</v>
      </c>
    </row>
    <row r="40" spans="1:6" hidden="1" x14ac:dyDescent="0.35">
      <c r="A40">
        <v>1980</v>
      </c>
      <c r="B40">
        <v>254</v>
      </c>
      <c r="C40">
        <v>1058</v>
      </c>
      <c r="D40">
        <v>179.01253728536</v>
      </c>
      <c r="E40">
        <v>13715.940606804301</v>
      </c>
      <c r="F40">
        <v>6.6786427674933604</v>
      </c>
    </row>
    <row r="41" spans="1:6" hidden="1" x14ac:dyDescent="0.35">
      <c r="A41">
        <v>1981</v>
      </c>
      <c r="B41">
        <v>251</v>
      </c>
      <c r="C41">
        <v>1124</v>
      </c>
      <c r="D41">
        <v>194.77620972478601</v>
      </c>
      <c r="E41">
        <v>14851.468231712401</v>
      </c>
      <c r="F41">
        <v>6.7362381542960703</v>
      </c>
    </row>
    <row r="42" spans="1:6" hidden="1" x14ac:dyDescent="0.35">
      <c r="A42">
        <v>1982</v>
      </c>
      <c r="B42">
        <v>253</v>
      </c>
      <c r="C42">
        <v>1203</v>
      </c>
      <c r="D42">
        <v>209.33571987250599</v>
      </c>
      <c r="E42">
        <v>16055.149989297201</v>
      </c>
      <c r="F42">
        <v>6.8737316536709496</v>
      </c>
    </row>
    <row r="43" spans="1:6" hidden="1" x14ac:dyDescent="0.35">
      <c r="A43">
        <v>1983</v>
      </c>
      <c r="B43">
        <v>259</v>
      </c>
      <c r="C43">
        <v>1248</v>
      </c>
      <c r="D43">
        <v>225.974808360879</v>
      </c>
      <c r="E43">
        <v>17405.7719830438</v>
      </c>
      <c r="F43">
        <v>7.23344787714466</v>
      </c>
    </row>
    <row r="44" spans="1:6" hidden="1" x14ac:dyDescent="0.35">
      <c r="A44">
        <v>1984</v>
      </c>
      <c r="B44">
        <v>258</v>
      </c>
      <c r="C44">
        <v>1283</v>
      </c>
      <c r="D44">
        <v>233.01724988762601</v>
      </c>
      <c r="E44">
        <v>18012.786599264698</v>
      </c>
      <c r="F44">
        <v>7.00376625441959</v>
      </c>
    </row>
    <row r="45" spans="1:6" hidden="1" x14ac:dyDescent="0.35">
      <c r="A45">
        <v>1985</v>
      </c>
      <c r="B45">
        <v>259</v>
      </c>
      <c r="C45">
        <v>1323</v>
      </c>
      <c r="D45">
        <v>244.50645425445799</v>
      </c>
      <c r="E45">
        <v>18984.552046585799</v>
      </c>
      <c r="F45">
        <v>6.9619607879434602</v>
      </c>
    </row>
    <row r="46" spans="1:6" hidden="1" x14ac:dyDescent="0.35">
      <c r="A46">
        <v>1986</v>
      </c>
      <c r="B46">
        <v>267</v>
      </c>
      <c r="C46">
        <v>1370</v>
      </c>
      <c r="D46">
        <v>260.78656057574699</v>
      </c>
      <c r="E46">
        <v>20354.262224376202</v>
      </c>
      <c r="F46">
        <v>7.1122281151148803</v>
      </c>
    </row>
    <row r="47" spans="1:6" hidden="1" x14ac:dyDescent="0.35">
      <c r="A47">
        <v>1987</v>
      </c>
      <c r="B47">
        <v>268</v>
      </c>
      <c r="C47">
        <v>1403</v>
      </c>
      <c r="D47">
        <v>275.19612860530799</v>
      </c>
      <c r="E47">
        <v>21614.253990136502</v>
      </c>
      <c r="F47">
        <v>7.2750458539937801</v>
      </c>
    </row>
    <row r="48" spans="1:6" hidden="1" x14ac:dyDescent="0.35">
      <c r="A48">
        <v>1988</v>
      </c>
      <c r="B48">
        <v>273</v>
      </c>
      <c r="C48">
        <v>1452</v>
      </c>
      <c r="D48">
        <v>291.75161229077798</v>
      </c>
      <c r="E48">
        <v>23083.571951465299</v>
      </c>
      <c r="F48">
        <v>7.3188104915637702</v>
      </c>
    </row>
    <row r="49" spans="1:14" hidden="1" x14ac:dyDescent="0.35">
      <c r="A49">
        <v>1989</v>
      </c>
      <c r="B49">
        <v>274</v>
      </c>
      <c r="C49">
        <v>1507</v>
      </c>
      <c r="D49">
        <v>312.90841773603302</v>
      </c>
      <c r="E49">
        <v>24958.494723557302</v>
      </c>
      <c r="F49">
        <v>7.3312386062915502</v>
      </c>
    </row>
    <row r="50" spans="1:14" hidden="1" x14ac:dyDescent="0.35">
      <c r="A50">
        <v>1990</v>
      </c>
      <c r="B50">
        <v>272</v>
      </c>
      <c r="C50">
        <v>1595</v>
      </c>
      <c r="D50">
        <v>333.51101523092802</v>
      </c>
      <c r="E50">
        <v>26863.397789647501</v>
      </c>
      <c r="F50">
        <v>7.2761344120397498</v>
      </c>
    </row>
    <row r="51" spans="1:14" hidden="1" x14ac:dyDescent="0.35">
      <c r="A51">
        <v>1991</v>
      </c>
      <c r="B51">
        <v>277</v>
      </c>
      <c r="C51">
        <v>1706</v>
      </c>
      <c r="D51">
        <v>371.26240520059702</v>
      </c>
      <c r="E51">
        <v>30294.914251093702</v>
      </c>
      <c r="F51">
        <v>7.8564624268402996</v>
      </c>
    </row>
    <row r="52" spans="1:14" hidden="1" x14ac:dyDescent="0.35">
      <c r="A52">
        <v>1992</v>
      </c>
      <c r="B52">
        <v>280</v>
      </c>
      <c r="C52">
        <v>1788</v>
      </c>
      <c r="D52">
        <v>391.223048807748</v>
      </c>
      <c r="E52">
        <v>32277.6080415781</v>
      </c>
      <c r="F52">
        <v>8.2000803498254093</v>
      </c>
    </row>
    <row r="53" spans="1:14" hidden="1" x14ac:dyDescent="0.35">
      <c r="A53">
        <v>1993</v>
      </c>
      <c r="B53">
        <v>278</v>
      </c>
      <c r="C53">
        <v>1836</v>
      </c>
      <c r="D53">
        <v>400.98170698541998</v>
      </c>
      <c r="E53">
        <v>33385.4057127161</v>
      </c>
      <c r="F53">
        <v>8.2994972424103892</v>
      </c>
    </row>
    <row r="54" spans="1:14" hidden="1" x14ac:dyDescent="0.35">
      <c r="A54">
        <v>1994</v>
      </c>
      <c r="B54">
        <v>280</v>
      </c>
      <c r="C54">
        <v>1862</v>
      </c>
      <c r="D54">
        <v>413.07856296491298</v>
      </c>
      <c r="E54">
        <v>34667.838980783003</v>
      </c>
      <c r="F54">
        <v>8.4106318056980296</v>
      </c>
    </row>
    <row r="55" spans="1:14" hidden="1" x14ac:dyDescent="0.35">
      <c r="A55">
        <v>1995</v>
      </c>
      <c r="B55">
        <v>279</v>
      </c>
      <c r="C55">
        <v>1887</v>
      </c>
      <c r="D55">
        <v>425.61578682178998</v>
      </c>
      <c r="E55">
        <v>35959.527893556697</v>
      </c>
      <c r="F55">
        <v>8.6186685755048593</v>
      </c>
    </row>
    <row r="56" spans="1:14" hidden="1" x14ac:dyDescent="0.35">
      <c r="A56">
        <v>1996</v>
      </c>
      <c r="B56">
        <v>280</v>
      </c>
      <c r="C56">
        <v>1910</v>
      </c>
      <c r="D56">
        <v>443.91078281492997</v>
      </c>
      <c r="E56">
        <v>37671.2456333972</v>
      </c>
      <c r="F56">
        <v>8.9614816949641298</v>
      </c>
    </row>
    <row r="57" spans="1:14" hidden="1" x14ac:dyDescent="0.35">
      <c r="A57">
        <v>1997</v>
      </c>
      <c r="B57">
        <v>280</v>
      </c>
      <c r="C57">
        <v>1919</v>
      </c>
      <c r="D57">
        <v>451.88980841428202</v>
      </c>
      <c r="E57">
        <v>38440.849779143398</v>
      </c>
      <c r="F57">
        <v>8.9851574232945808</v>
      </c>
    </row>
    <row r="58" spans="1:14" hidden="1" x14ac:dyDescent="0.35">
      <c r="A58">
        <v>1998</v>
      </c>
      <c r="B58">
        <v>282</v>
      </c>
      <c r="C58">
        <v>1932</v>
      </c>
      <c r="D58">
        <v>468.46652723537102</v>
      </c>
      <c r="E58">
        <v>39969.5697253201</v>
      </c>
      <c r="F58">
        <v>9.0849247640106103</v>
      </c>
    </row>
    <row r="59" spans="1:14" x14ac:dyDescent="0.35">
      <c r="A59">
        <v>1999</v>
      </c>
      <c r="B59">
        <v>280</v>
      </c>
      <c r="C59">
        <v>1938</v>
      </c>
      <c r="D59">
        <v>480.81456637682402</v>
      </c>
      <c r="E59">
        <v>41219.2163334918</v>
      </c>
      <c r="F59">
        <v>9.2117023327310292</v>
      </c>
      <c r="G59">
        <v>100</v>
      </c>
      <c r="H59">
        <v>100</v>
      </c>
      <c r="I59">
        <v>100</v>
      </c>
      <c r="K59">
        <f>B59/$B$59*100</f>
        <v>100</v>
      </c>
      <c r="L59">
        <f>C59/$C$59*100</f>
        <v>100</v>
      </c>
      <c r="M59">
        <v>494680.50768559601</v>
      </c>
      <c r="N59">
        <f>M59/$M$59*100</f>
        <v>100</v>
      </c>
    </row>
    <row r="60" spans="1:14" x14ac:dyDescent="0.35">
      <c r="A60">
        <v>2000</v>
      </c>
      <c r="B60">
        <v>279</v>
      </c>
      <c r="C60">
        <v>1963</v>
      </c>
      <c r="D60">
        <v>498.27519242888502</v>
      </c>
      <c r="E60">
        <v>42956.799624835498</v>
      </c>
      <c r="F60">
        <v>9.1098944165392002</v>
      </c>
      <c r="G60">
        <v>104.6</v>
      </c>
      <c r="H60">
        <v>103.8</v>
      </c>
      <c r="I60">
        <v>106.4</v>
      </c>
      <c r="J60" t="s">
        <v>126</v>
      </c>
      <c r="K60">
        <f t="shared" ref="K60:K85" si="0">B60/$B$59*100</f>
        <v>99.642857142857139</v>
      </c>
      <c r="L60">
        <f t="shared" ref="L60:L85" si="1">C60/$C$59*100</f>
        <v>101.28998968008256</v>
      </c>
      <c r="M60">
        <v>512653.323301428</v>
      </c>
      <c r="N60">
        <f t="shared" ref="N60:N85" si="2">M60/$M$59*100</f>
        <v>103.63321686150913</v>
      </c>
    </row>
    <row r="61" spans="1:14" x14ac:dyDescent="0.35">
      <c r="A61">
        <v>2001</v>
      </c>
      <c r="B61">
        <v>284</v>
      </c>
      <c r="C61">
        <v>2011</v>
      </c>
      <c r="D61">
        <v>526.19068838696103</v>
      </c>
      <c r="E61">
        <v>45631.122844482401</v>
      </c>
      <c r="F61">
        <v>9.4349957837579801</v>
      </c>
      <c r="G61">
        <v>110.3</v>
      </c>
      <c r="H61">
        <v>109.8</v>
      </c>
      <c r="I61">
        <v>111.1</v>
      </c>
      <c r="J61">
        <v>-0.4</v>
      </c>
      <c r="K61">
        <f t="shared" si="0"/>
        <v>101.42857142857142</v>
      </c>
      <c r="L61">
        <f t="shared" si="1"/>
        <v>103.76676986584108</v>
      </c>
      <c r="M61">
        <v>520815.77781889698</v>
      </c>
      <c r="N61">
        <f t="shared" si="2"/>
        <v>105.28326257599619</v>
      </c>
    </row>
    <row r="62" spans="1:14" x14ac:dyDescent="0.35">
      <c r="A62">
        <v>2002</v>
      </c>
      <c r="B62">
        <v>287</v>
      </c>
      <c r="C62">
        <v>2047</v>
      </c>
      <c r="D62">
        <v>543.38755948914002</v>
      </c>
      <c r="E62">
        <v>47501.329849814298</v>
      </c>
      <c r="F62">
        <v>9.8534695572985296</v>
      </c>
      <c r="G62">
        <v>119</v>
      </c>
      <c r="H62">
        <v>120.8</v>
      </c>
      <c r="I62">
        <v>115.4</v>
      </c>
      <c r="J62">
        <v>-0.5</v>
      </c>
      <c r="K62">
        <f t="shared" si="0"/>
        <v>102.49999999999999</v>
      </c>
      <c r="L62">
        <f t="shared" si="1"/>
        <v>105.62435500515997</v>
      </c>
      <c r="M62">
        <v>522797.01421946299</v>
      </c>
      <c r="N62">
        <f t="shared" si="2"/>
        <v>105.68377085756065</v>
      </c>
    </row>
    <row r="63" spans="1:14" x14ac:dyDescent="0.35">
      <c r="A63">
        <v>2003</v>
      </c>
      <c r="B63">
        <v>289</v>
      </c>
      <c r="C63">
        <v>2076</v>
      </c>
      <c r="D63">
        <v>559.746747373978</v>
      </c>
      <c r="E63">
        <v>49295.779906211901</v>
      </c>
      <c r="F63">
        <v>10.1097458706484</v>
      </c>
      <c r="G63">
        <v>127.4</v>
      </c>
      <c r="H63">
        <v>133</v>
      </c>
      <c r="I63">
        <v>116.4</v>
      </c>
      <c r="J63">
        <v>-0.5</v>
      </c>
      <c r="K63">
        <f t="shared" si="0"/>
        <v>103.21428571428572</v>
      </c>
      <c r="L63">
        <f t="shared" si="1"/>
        <v>107.12074303405572</v>
      </c>
      <c r="M63">
        <v>521311.10771313799</v>
      </c>
      <c r="N63">
        <f t="shared" si="2"/>
        <v>105.38339384992861</v>
      </c>
    </row>
    <row r="64" spans="1:14" x14ac:dyDescent="0.35">
      <c r="A64">
        <v>2004</v>
      </c>
      <c r="B64">
        <v>289</v>
      </c>
      <c r="C64">
        <v>2095</v>
      </c>
      <c r="D64">
        <v>577.64079721063001</v>
      </c>
      <c r="E64">
        <v>51222.586513051203</v>
      </c>
      <c r="F64">
        <v>10.1983051102332</v>
      </c>
      <c r="G64">
        <v>134</v>
      </c>
      <c r="H64">
        <v>142.1</v>
      </c>
      <c r="I64">
        <v>117.9</v>
      </c>
      <c r="J64">
        <v>-0.4</v>
      </c>
      <c r="K64">
        <f t="shared" si="0"/>
        <v>103.21428571428572</v>
      </c>
      <c r="L64">
        <f t="shared" si="1"/>
        <v>108.10113519091846</v>
      </c>
      <c r="M64">
        <v>534797.05567569402</v>
      </c>
      <c r="N64">
        <f t="shared" si="2"/>
        <v>108.10958737343152</v>
      </c>
    </row>
    <row r="65" spans="1:14" x14ac:dyDescent="0.35">
      <c r="A65">
        <v>2005</v>
      </c>
      <c r="B65">
        <v>289</v>
      </c>
      <c r="C65">
        <v>2115</v>
      </c>
      <c r="D65">
        <v>585.43600086755896</v>
      </c>
      <c r="E65">
        <v>52247.458363105703</v>
      </c>
      <c r="F65">
        <v>10.0312234529262</v>
      </c>
      <c r="G65">
        <v>136.69999999999999</v>
      </c>
      <c r="H65">
        <v>145.6</v>
      </c>
      <c r="I65">
        <v>118.9</v>
      </c>
      <c r="J65">
        <v>-0.2</v>
      </c>
      <c r="K65">
        <f t="shared" si="0"/>
        <v>103.21428571428572</v>
      </c>
      <c r="L65">
        <f t="shared" si="1"/>
        <v>109.13312693498452</v>
      </c>
      <c r="M65">
        <v>550584.71877029398</v>
      </c>
      <c r="N65">
        <f t="shared" si="2"/>
        <v>111.30107417133748</v>
      </c>
    </row>
    <row r="66" spans="1:14" x14ac:dyDescent="0.35">
      <c r="A66">
        <v>2006</v>
      </c>
      <c r="B66">
        <v>289</v>
      </c>
      <c r="C66">
        <v>2140</v>
      </c>
      <c r="D66">
        <v>589.09725018455504</v>
      </c>
      <c r="E66">
        <v>52905.175744968903</v>
      </c>
      <c r="F66">
        <v>9.5544729276578995</v>
      </c>
      <c r="G66">
        <v>141.69999999999999</v>
      </c>
      <c r="H66">
        <v>151.5</v>
      </c>
      <c r="I66">
        <v>122.4</v>
      </c>
      <c r="J66">
        <v>-0.3</v>
      </c>
      <c r="K66">
        <f t="shared" si="0"/>
        <v>103.21428571428572</v>
      </c>
      <c r="L66">
        <f t="shared" si="1"/>
        <v>110.42311661506707</v>
      </c>
      <c r="M66">
        <v>573347.66719402105</v>
      </c>
      <c r="N66">
        <f t="shared" si="2"/>
        <v>115.90261962745933</v>
      </c>
    </row>
    <row r="67" spans="1:14" x14ac:dyDescent="0.35">
      <c r="A67">
        <v>2007</v>
      </c>
      <c r="B67">
        <v>292</v>
      </c>
      <c r="C67">
        <v>2175</v>
      </c>
      <c r="D67">
        <v>610.55885964372101</v>
      </c>
      <c r="E67">
        <v>55324.812951322703</v>
      </c>
      <c r="F67">
        <v>9.3916494829341506</v>
      </c>
      <c r="G67">
        <v>143.1</v>
      </c>
      <c r="H67">
        <v>153.30000000000001</v>
      </c>
      <c r="I67">
        <v>123</v>
      </c>
      <c r="J67">
        <v>0</v>
      </c>
      <c r="K67">
        <f t="shared" si="0"/>
        <v>104.28571428571429</v>
      </c>
      <c r="L67">
        <f t="shared" si="1"/>
        <v>112.22910216718267</v>
      </c>
      <c r="M67">
        <v>596185.21556237596</v>
      </c>
      <c r="N67">
        <f t="shared" si="2"/>
        <v>120.51924551296314</v>
      </c>
    </row>
    <row r="68" spans="1:14" x14ac:dyDescent="0.35">
      <c r="A68">
        <v>2008</v>
      </c>
      <c r="B68">
        <v>290</v>
      </c>
      <c r="C68">
        <v>2219</v>
      </c>
      <c r="D68">
        <v>636.42535086293003</v>
      </c>
      <c r="E68">
        <v>58406.090941927898</v>
      </c>
      <c r="F68">
        <v>9.5060802628781005</v>
      </c>
      <c r="G68">
        <v>142.5</v>
      </c>
      <c r="H68">
        <v>151.69999999999999</v>
      </c>
      <c r="I68">
        <v>124.4</v>
      </c>
      <c r="J68">
        <v>0</v>
      </c>
      <c r="K68">
        <f t="shared" si="0"/>
        <v>103.57142857142858</v>
      </c>
      <c r="L68">
        <f t="shared" si="1"/>
        <v>114.49948400412796</v>
      </c>
      <c r="M68">
        <v>611278.21835853998</v>
      </c>
      <c r="N68">
        <f t="shared" si="2"/>
        <v>123.57030626059154</v>
      </c>
    </row>
    <row r="69" spans="1:14" x14ac:dyDescent="0.35">
      <c r="A69">
        <v>2009</v>
      </c>
      <c r="B69">
        <v>298</v>
      </c>
      <c r="C69">
        <v>2266</v>
      </c>
      <c r="D69">
        <v>656.36130342030003</v>
      </c>
      <c r="E69">
        <v>60993.012103518296</v>
      </c>
      <c r="F69">
        <v>10.1142719884374</v>
      </c>
      <c r="G69">
        <v>144.6</v>
      </c>
      <c r="H69">
        <v>153.69999999999999</v>
      </c>
      <c r="I69">
        <v>126.6</v>
      </c>
      <c r="J69">
        <v>-0.1</v>
      </c>
      <c r="K69">
        <f t="shared" si="0"/>
        <v>106.42857142857143</v>
      </c>
      <c r="L69">
        <f t="shared" si="1"/>
        <v>116.92466460268318</v>
      </c>
      <c r="M69">
        <v>599450.538071346</v>
      </c>
      <c r="N69">
        <f t="shared" si="2"/>
        <v>121.17933267189468</v>
      </c>
    </row>
    <row r="70" spans="1:14" x14ac:dyDescent="0.35">
      <c r="A70">
        <v>2010</v>
      </c>
      <c r="B70">
        <v>298</v>
      </c>
      <c r="C70">
        <v>2284</v>
      </c>
      <c r="D70">
        <v>664.51213362353496</v>
      </c>
      <c r="E70">
        <v>62396.9637</v>
      </c>
      <c r="F70">
        <v>9.9907855889225008</v>
      </c>
      <c r="G70">
        <v>156.30000000000001</v>
      </c>
      <c r="H70">
        <v>167.1</v>
      </c>
      <c r="I70">
        <v>134.80000000000001</v>
      </c>
      <c r="J70">
        <v>-0.6</v>
      </c>
      <c r="K70">
        <f t="shared" si="0"/>
        <v>106.42857142857143</v>
      </c>
      <c r="L70">
        <f t="shared" si="1"/>
        <v>117.85345717234262</v>
      </c>
      <c r="M70">
        <v>618996.40692477801</v>
      </c>
      <c r="N70">
        <f t="shared" si="2"/>
        <v>125.1305433118447</v>
      </c>
    </row>
    <row r="71" spans="1:14" x14ac:dyDescent="0.35">
      <c r="A71">
        <v>2011</v>
      </c>
      <c r="B71">
        <v>301</v>
      </c>
      <c r="C71">
        <v>2306</v>
      </c>
      <c r="D71">
        <v>676.518502987337</v>
      </c>
      <c r="E71">
        <v>64234.603799999997</v>
      </c>
      <c r="F71">
        <v>10.1039309594507</v>
      </c>
      <c r="G71">
        <v>165.3</v>
      </c>
      <c r="H71">
        <v>177.4</v>
      </c>
      <c r="I71">
        <v>141.30000000000001</v>
      </c>
      <c r="J71">
        <v>-0.4</v>
      </c>
      <c r="K71">
        <f t="shared" si="0"/>
        <v>107.5</v>
      </c>
      <c r="L71">
        <f t="shared" si="1"/>
        <v>118.98864809081526</v>
      </c>
      <c r="M71">
        <v>627709.77554362605</v>
      </c>
      <c r="N71">
        <f t="shared" si="2"/>
        <v>126.89195668542077</v>
      </c>
    </row>
    <row r="72" spans="1:14" x14ac:dyDescent="0.35">
      <c r="A72">
        <v>2012</v>
      </c>
      <c r="B72">
        <v>305</v>
      </c>
      <c r="C72">
        <v>2326</v>
      </c>
      <c r="D72">
        <v>693.204102209604</v>
      </c>
      <c r="E72">
        <v>66521.482199999999</v>
      </c>
      <c r="F72">
        <v>10.335110397685099</v>
      </c>
      <c r="G72">
        <v>168.5</v>
      </c>
      <c r="H72">
        <v>181.3</v>
      </c>
      <c r="I72">
        <v>142.69999999999999</v>
      </c>
      <c r="J72">
        <v>-0.2</v>
      </c>
      <c r="K72">
        <f t="shared" si="0"/>
        <v>108.92857142857142</v>
      </c>
      <c r="L72">
        <f t="shared" si="1"/>
        <v>120.02063983488131</v>
      </c>
      <c r="M72">
        <v>634766.08641963301</v>
      </c>
      <c r="N72">
        <f t="shared" si="2"/>
        <v>128.31839471287014</v>
      </c>
    </row>
    <row r="73" spans="1:14" x14ac:dyDescent="0.35">
      <c r="A73">
        <v>2013</v>
      </c>
      <c r="B73">
        <v>308</v>
      </c>
      <c r="C73">
        <v>2343</v>
      </c>
      <c r="D73">
        <v>714.44260643006703</v>
      </c>
      <c r="E73">
        <v>69352.476999999999</v>
      </c>
      <c r="F73">
        <v>10.5944455755102</v>
      </c>
      <c r="G73">
        <v>170.4</v>
      </c>
      <c r="H73">
        <v>183.1</v>
      </c>
      <c r="I73">
        <v>144.9</v>
      </c>
      <c r="J73">
        <v>-0.1</v>
      </c>
      <c r="K73">
        <f t="shared" si="0"/>
        <v>110.00000000000001</v>
      </c>
      <c r="L73">
        <f t="shared" si="1"/>
        <v>120.89783281733746</v>
      </c>
      <c r="M73">
        <v>646421.178282368</v>
      </c>
      <c r="N73">
        <f t="shared" si="2"/>
        <v>130.67447943455534</v>
      </c>
    </row>
    <row r="74" spans="1:14" x14ac:dyDescent="0.35">
      <c r="A74">
        <v>2014</v>
      </c>
      <c r="B74">
        <v>311</v>
      </c>
      <c r="C74">
        <v>2361</v>
      </c>
      <c r="D74">
        <v>723.11033479252796</v>
      </c>
      <c r="E74">
        <v>71055.556299999997</v>
      </c>
      <c r="F74">
        <v>10.6751194116164</v>
      </c>
      <c r="G74">
        <v>169</v>
      </c>
      <c r="H74">
        <v>187.4</v>
      </c>
      <c r="I74">
        <v>129.9</v>
      </c>
      <c r="J74">
        <v>0.1</v>
      </c>
      <c r="K74">
        <f t="shared" si="0"/>
        <v>111.07142857142858</v>
      </c>
      <c r="L74">
        <f t="shared" si="1"/>
        <v>121.82662538699691</v>
      </c>
      <c r="M74">
        <v>662862.40631210397</v>
      </c>
      <c r="N74">
        <f t="shared" si="2"/>
        <v>133.99808482718694</v>
      </c>
    </row>
    <row r="75" spans="1:14" x14ac:dyDescent="0.35">
      <c r="A75">
        <v>2015</v>
      </c>
      <c r="B75">
        <v>315</v>
      </c>
      <c r="C75">
        <v>2370</v>
      </c>
      <c r="D75">
        <v>737.97051501361</v>
      </c>
      <c r="E75">
        <v>73345.968500000003</v>
      </c>
      <c r="F75">
        <v>10.9798305090147</v>
      </c>
      <c r="G75">
        <v>173.3</v>
      </c>
      <c r="H75">
        <v>194.6</v>
      </c>
      <c r="I75">
        <v>127.8</v>
      </c>
      <c r="J75">
        <v>-0.2</v>
      </c>
      <c r="K75">
        <f t="shared" si="0"/>
        <v>112.5</v>
      </c>
      <c r="L75">
        <f t="shared" si="1"/>
        <v>122.29102167182661</v>
      </c>
      <c r="M75">
        <v>672503.76154870098</v>
      </c>
      <c r="N75">
        <f t="shared" si="2"/>
        <v>135.94709132467457</v>
      </c>
    </row>
    <row r="76" spans="1:14" x14ac:dyDescent="0.35">
      <c r="A76">
        <v>2016</v>
      </c>
      <c r="B76">
        <v>319</v>
      </c>
      <c r="C76">
        <v>2386</v>
      </c>
      <c r="D76">
        <v>755.73084274554901</v>
      </c>
      <c r="E76">
        <v>75935.877399999998</v>
      </c>
      <c r="F76">
        <v>11.202487927763899</v>
      </c>
      <c r="G76">
        <v>178.5</v>
      </c>
      <c r="H76">
        <v>204</v>
      </c>
      <c r="I76">
        <v>124.1</v>
      </c>
      <c r="J76">
        <v>-0.2</v>
      </c>
      <c r="K76">
        <f t="shared" si="0"/>
        <v>113.92857142857142</v>
      </c>
      <c r="L76">
        <f t="shared" si="1"/>
        <v>123.11661506707947</v>
      </c>
      <c r="M76">
        <v>685359.28335051099</v>
      </c>
      <c r="N76">
        <f t="shared" si="2"/>
        <v>138.5458437723818</v>
      </c>
    </row>
    <row r="77" spans="1:14" x14ac:dyDescent="0.35">
      <c r="A77">
        <v>2017</v>
      </c>
      <c r="B77">
        <v>318</v>
      </c>
      <c r="C77">
        <v>2395</v>
      </c>
      <c r="D77">
        <v>767.74784445359398</v>
      </c>
      <c r="E77">
        <v>77866.583299999998</v>
      </c>
      <c r="F77">
        <v>11.3747162586182</v>
      </c>
      <c r="G77">
        <v>185.3</v>
      </c>
      <c r="H77">
        <v>213.9</v>
      </c>
      <c r="I77">
        <v>124.6</v>
      </c>
      <c r="J77">
        <v>-0.3</v>
      </c>
      <c r="K77">
        <f t="shared" si="0"/>
        <v>113.57142857142857</v>
      </c>
      <c r="L77">
        <f t="shared" si="1"/>
        <v>123.58101135190918</v>
      </c>
      <c r="M77">
        <v>695093.75738472794</v>
      </c>
      <c r="N77">
        <f t="shared" si="2"/>
        <v>140.51367429793868</v>
      </c>
    </row>
    <row r="78" spans="1:14" x14ac:dyDescent="0.35">
      <c r="A78">
        <v>2018</v>
      </c>
      <c r="B78">
        <v>317</v>
      </c>
      <c r="C78">
        <v>2407</v>
      </c>
      <c r="D78">
        <v>774.88634502024104</v>
      </c>
      <c r="E78">
        <v>79171.642699999997</v>
      </c>
      <c r="F78">
        <v>11.1584548735973</v>
      </c>
      <c r="G78">
        <v>192.83425255256284</v>
      </c>
      <c r="H78">
        <v>221.8</v>
      </c>
      <c r="I78">
        <v>131.1</v>
      </c>
      <c r="J78">
        <v>-0.29999999999999982</v>
      </c>
      <c r="K78">
        <f t="shared" si="0"/>
        <v>113.21428571428571</v>
      </c>
      <c r="L78">
        <f t="shared" si="1"/>
        <v>124.20020639834881</v>
      </c>
      <c r="M78">
        <v>718222.53303125699</v>
      </c>
      <c r="N78">
        <f t="shared" si="2"/>
        <v>145.18917197516453</v>
      </c>
    </row>
    <row r="79" spans="1:14" x14ac:dyDescent="0.35">
      <c r="A79">
        <v>2019</v>
      </c>
      <c r="B79">
        <v>319</v>
      </c>
      <c r="C79">
        <v>2429</v>
      </c>
      <c r="D79">
        <v>793.81385311422298</v>
      </c>
      <c r="E79">
        <v>81686.112699999998</v>
      </c>
      <c r="F79">
        <v>11.394692749738599</v>
      </c>
      <c r="G79">
        <v>194.4</v>
      </c>
      <c r="H79">
        <v>224.2</v>
      </c>
      <c r="I79">
        <v>131.1</v>
      </c>
      <c r="J79">
        <v>0</v>
      </c>
      <c r="K79">
        <f t="shared" si="0"/>
        <v>113.92857142857142</v>
      </c>
      <c r="L79">
        <f t="shared" si="1"/>
        <v>125.33539731682146</v>
      </c>
      <c r="M79">
        <v>726233.02622593602</v>
      </c>
      <c r="N79">
        <f t="shared" si="2"/>
        <v>146.80849860522659</v>
      </c>
    </row>
    <row r="80" spans="1:14" x14ac:dyDescent="0.35">
      <c r="A80">
        <v>2020</v>
      </c>
      <c r="B80">
        <v>324</v>
      </c>
      <c r="C80">
        <v>2449</v>
      </c>
      <c r="D80">
        <v>805.745927101544</v>
      </c>
      <c r="E80">
        <v>83522.009699999995</v>
      </c>
      <c r="F80">
        <v>11.9896090630887</v>
      </c>
      <c r="G80">
        <v>194.8</v>
      </c>
      <c r="H80">
        <v>224.8</v>
      </c>
      <c r="I80">
        <v>131.19999999999999</v>
      </c>
      <c r="J80">
        <v>0</v>
      </c>
      <c r="K80">
        <f t="shared" si="0"/>
        <v>115.71428571428572</v>
      </c>
      <c r="L80">
        <f t="shared" si="1"/>
        <v>126.36738906088752</v>
      </c>
      <c r="M80">
        <v>709854.59789991495</v>
      </c>
      <c r="N80">
        <f t="shared" si="2"/>
        <v>143.49758821527635</v>
      </c>
    </row>
    <row r="81" spans="1:14" x14ac:dyDescent="0.35">
      <c r="A81">
        <v>2021</v>
      </c>
      <c r="B81">
        <v>321</v>
      </c>
      <c r="C81">
        <v>2445</v>
      </c>
      <c r="D81">
        <v>852.99550390080697</v>
      </c>
      <c r="E81">
        <v>89099.258100000006</v>
      </c>
      <c r="F81">
        <v>11.958555935721201</v>
      </c>
      <c r="G81">
        <v>195.3</v>
      </c>
      <c r="H81">
        <v>225.7</v>
      </c>
      <c r="I81">
        <v>130.80000000000001</v>
      </c>
      <c r="J81">
        <v>0</v>
      </c>
      <c r="K81">
        <f t="shared" si="0"/>
        <v>114.64285714285714</v>
      </c>
      <c r="L81">
        <f t="shared" si="1"/>
        <v>126.16099071207429</v>
      </c>
      <c r="M81">
        <v>753696.83907210804</v>
      </c>
      <c r="N81">
        <f t="shared" si="2"/>
        <v>152.36032699132244</v>
      </c>
    </row>
    <row r="82" spans="1:14" x14ac:dyDescent="0.35">
      <c r="A82">
        <v>2022</v>
      </c>
      <c r="B82">
        <v>315</v>
      </c>
      <c r="C82">
        <v>2468</v>
      </c>
      <c r="D82">
        <v>871.19961749652396</v>
      </c>
      <c r="E82">
        <v>91759.148499999996</v>
      </c>
      <c r="F82">
        <v>11.599118623235</v>
      </c>
      <c r="G82">
        <v>194.4</v>
      </c>
      <c r="H82">
        <v>224.6</v>
      </c>
      <c r="I82">
        <v>130.30000000000001</v>
      </c>
      <c r="J82">
        <v>0</v>
      </c>
      <c r="K82">
        <f t="shared" si="0"/>
        <v>112.5</v>
      </c>
      <c r="L82">
        <f t="shared" si="1"/>
        <v>127.34778121775025</v>
      </c>
      <c r="M82">
        <v>780334.76842328196</v>
      </c>
      <c r="N82">
        <f t="shared" si="2"/>
        <v>157.7452024689922</v>
      </c>
    </row>
    <row r="83" spans="1:14" x14ac:dyDescent="0.35">
      <c r="A83">
        <v>2023</v>
      </c>
      <c r="B83">
        <v>314</v>
      </c>
      <c r="C83">
        <v>2510</v>
      </c>
      <c r="D83">
        <v>880.80922763495698</v>
      </c>
      <c r="E83">
        <v>93952.271999999997</v>
      </c>
      <c r="F83">
        <v>11.6909605770346</v>
      </c>
      <c r="G83">
        <v>202</v>
      </c>
      <c r="H83">
        <v>236.7</v>
      </c>
      <c r="I83">
        <v>129.6</v>
      </c>
      <c r="J83">
        <v>-0.4</v>
      </c>
      <c r="K83">
        <f t="shared" si="0"/>
        <v>112.14285714285714</v>
      </c>
      <c r="L83">
        <f t="shared" si="1"/>
        <v>129.51496388028895</v>
      </c>
      <c r="M83">
        <v>786776.90694842604</v>
      </c>
      <c r="N83">
        <f t="shared" si="2"/>
        <v>159.04748513933313</v>
      </c>
    </row>
    <row r="84" spans="1:14" x14ac:dyDescent="0.35">
      <c r="A84">
        <v>2024</v>
      </c>
      <c r="B84">
        <v>316</v>
      </c>
      <c r="C84">
        <v>2555</v>
      </c>
      <c r="D84">
        <v>898.57945374721101</v>
      </c>
      <c r="E84">
        <v>97076.374305067206</v>
      </c>
      <c r="F84">
        <v>11.7726930091663</v>
      </c>
      <c r="G84">
        <v>213.9</v>
      </c>
      <c r="H84">
        <v>255.9</v>
      </c>
      <c r="I84">
        <v>128.1</v>
      </c>
      <c r="J84">
        <v>-0.5</v>
      </c>
      <c r="K84">
        <f t="shared" si="0"/>
        <v>112.85714285714286</v>
      </c>
      <c r="L84">
        <f t="shared" si="1"/>
        <v>131.83694530443756</v>
      </c>
      <c r="M84">
        <v>797715.73105106899</v>
      </c>
      <c r="N84">
        <f t="shared" si="2"/>
        <v>161.25877584771806</v>
      </c>
    </row>
    <row r="85" spans="1:14" x14ac:dyDescent="0.35">
      <c r="G85">
        <v>222.9</v>
      </c>
      <c r="H85">
        <v>270.39999999999998</v>
      </c>
      <c r="I85">
        <v>127.4</v>
      </c>
      <c r="J85">
        <v>-0.3</v>
      </c>
      <c r="K85">
        <f t="shared" si="0"/>
        <v>0</v>
      </c>
      <c r="L85">
        <f t="shared" si="1"/>
        <v>0</v>
      </c>
      <c r="N85">
        <f t="shared" si="2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6" baseType="variant">
      <vt:variant>
        <vt:lpstr>Feuilles de calcul</vt:lpstr>
      </vt:variant>
      <vt:variant>
        <vt:i4>4</vt:i4>
      </vt:variant>
      <vt:variant>
        <vt:lpstr>Graphiques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6" baseType="lpstr">
      <vt:lpstr>2010-2024</vt:lpstr>
      <vt:lpstr>1976-2009</vt:lpstr>
      <vt:lpstr>1942-1975</vt:lpstr>
      <vt:lpstr>Feuil1</vt:lpstr>
      <vt:lpstr>Graphique1</vt:lpstr>
      <vt:lpstr>'2010-2024'!Zone_d_impression</vt:lpstr>
    </vt:vector>
  </TitlesOfParts>
  <Company>IDZ-EDI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Farine André</dc:creator>
  <cp:lastModifiedBy>Celâl Guney</cp:lastModifiedBy>
  <cp:lastPrinted>2024-02-29T12:30:07Z</cp:lastPrinted>
  <dcterms:created xsi:type="dcterms:W3CDTF">2005-09-07T08:15:50Z</dcterms:created>
  <dcterms:modified xsi:type="dcterms:W3CDTF">2026-01-08T10:23:01Z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5c3252-146d-46f3-8062-82cd8c8d7e7d_Enabled">
    <vt:lpwstr>true</vt:lpwstr>
  </property>
  <property fmtid="{D5CDD505-2E9C-101B-9397-08002B2CF9AE}" pid="3" name="MSIP_Label_245c3252-146d-46f3-8062-82cd8c8d7e7d_SetDate">
    <vt:lpwstr>2025-03-26T09:28:28Z</vt:lpwstr>
  </property>
  <property fmtid="{D5CDD505-2E9C-101B-9397-08002B2CF9AE}" pid="4" name="MSIP_Label_245c3252-146d-46f3-8062-82cd8c8d7e7d_Method">
    <vt:lpwstr>Privileged</vt:lpwstr>
  </property>
  <property fmtid="{D5CDD505-2E9C-101B-9397-08002B2CF9AE}" pid="5" name="MSIP_Label_245c3252-146d-46f3-8062-82cd8c8d7e7d_Name">
    <vt:lpwstr>L1</vt:lpwstr>
  </property>
  <property fmtid="{D5CDD505-2E9C-101B-9397-08002B2CF9AE}" pid="6" name="MSIP_Label_245c3252-146d-46f3-8062-82cd8c8d7e7d_SiteId">
    <vt:lpwstr>6ae27add-8276-4a38-88c1-3a9c1f973767</vt:lpwstr>
  </property>
  <property fmtid="{D5CDD505-2E9C-101B-9397-08002B2CF9AE}" pid="7" name="MSIP_Label_245c3252-146d-46f3-8062-82cd8c8d7e7d_ActionId">
    <vt:lpwstr>be47c1fc-f72f-4002-90b6-eadf6aed03dd</vt:lpwstr>
  </property>
  <property fmtid="{D5CDD505-2E9C-101B-9397-08002B2CF9AE}" pid="8" name="MSIP_Label_245c3252-146d-46f3-8062-82cd8c8d7e7d_ContentBits">
    <vt:lpwstr>0</vt:lpwstr>
  </property>
  <property fmtid="{D5CDD505-2E9C-101B-9397-08002B2CF9AE}" pid="9" name="MSIP_Label_245c3252-146d-46f3-8062-82cd8c8d7e7d_Tag">
    <vt:lpwstr>10, 0, 1, 1</vt:lpwstr>
  </property>
</Properties>
</file>