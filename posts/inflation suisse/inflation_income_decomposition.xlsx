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ney\Documents\GitHub\celalguney\posts\inflation suisse\"/>
    </mc:Choice>
  </mc:AlternateContent>
  <xr:revisionPtr revIDLastSave="0" documentId="13_ncr:1_{E794D537-261D-4C48-8EA6-7032FF508030}" xr6:coauthVersionLast="47" xr6:coauthVersionMax="47" xr10:uidLastSave="{00000000-0000-0000-0000-000000000000}"/>
  <bookViews>
    <workbookView xWindow="28680" yWindow="-120" windowWidth="25440" windowHeight="15270" activeTab="2" xr2:uid="{E69DC64F-2C82-4DC4-BC99-01B9323A830B}"/>
  </bookViews>
  <sheets>
    <sheet name="data source" sheetId="3" r:id="rId1"/>
    <sheet name="data" sheetId="1" r:id="rId2"/>
    <sheet name="resul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6" i="1" l="1"/>
  <c r="Q36" i="1"/>
  <c r="R36" i="1"/>
  <c r="V9" i="1"/>
  <c r="T9" i="1"/>
  <c r="U6" i="1"/>
  <c r="U9" i="1"/>
  <c r="W9" i="1"/>
  <c r="W6" i="1"/>
  <c r="T6" i="1"/>
  <c r="E115" i="2"/>
  <c r="V6" i="1"/>
  <c r="Q6" i="1"/>
  <c r="L6" i="1"/>
  <c r="K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6" i="1"/>
  <c r="P70" i="1"/>
  <c r="M15" i="1"/>
  <c r="M16" i="1"/>
  <c r="Q16" i="1" s="1"/>
  <c r="M27" i="1"/>
  <c r="Q27" i="1" s="1"/>
  <c r="M97" i="1"/>
  <c r="M140" i="1"/>
  <c r="M142" i="1"/>
  <c r="Q142" i="1" s="1"/>
  <c r="L70" i="1"/>
  <c r="G2" i="1"/>
  <c r="H2" i="1" s="1"/>
  <c r="J3" i="1"/>
  <c r="K146" i="1"/>
  <c r="K8" i="1"/>
  <c r="K7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G3" i="1"/>
  <c r="I3" i="1" s="1"/>
  <c r="G4" i="1"/>
  <c r="G5" i="1"/>
  <c r="H5" i="1" s="1"/>
  <c r="G6" i="1"/>
  <c r="G7" i="1"/>
  <c r="G8" i="1"/>
  <c r="I8" i="1" s="1"/>
  <c r="G9" i="1"/>
  <c r="I9" i="1" s="1"/>
  <c r="G10" i="1"/>
  <c r="H10" i="1" s="1"/>
  <c r="G11" i="1"/>
  <c r="I11" i="1" s="1"/>
  <c r="G12" i="1"/>
  <c r="I12" i="1" s="1"/>
  <c r="M12" i="1" s="1"/>
  <c r="G13" i="1"/>
  <c r="G14" i="1"/>
  <c r="I14" i="1" s="1"/>
  <c r="G15" i="1"/>
  <c r="I15" i="1" s="1"/>
  <c r="G16" i="1"/>
  <c r="I16" i="1" s="1"/>
  <c r="G17" i="1"/>
  <c r="I17" i="1" s="1"/>
  <c r="G18" i="1"/>
  <c r="G19" i="1"/>
  <c r="H19" i="1" s="1"/>
  <c r="G20" i="1"/>
  <c r="I20" i="1" s="1"/>
  <c r="M20" i="1" s="1"/>
  <c r="Q20" i="1" s="1"/>
  <c r="G21" i="1"/>
  <c r="G22" i="1"/>
  <c r="I22" i="1" s="1"/>
  <c r="G23" i="1"/>
  <c r="I23" i="1" s="1"/>
  <c r="G24" i="1"/>
  <c r="H24" i="1" s="1"/>
  <c r="G25" i="1"/>
  <c r="G26" i="1"/>
  <c r="G27" i="1"/>
  <c r="I27" i="1" s="1"/>
  <c r="G28" i="1"/>
  <c r="I28" i="1" s="1"/>
  <c r="G29" i="1"/>
  <c r="G30" i="1"/>
  <c r="G31" i="1"/>
  <c r="H31" i="1" s="1"/>
  <c r="G32" i="1"/>
  <c r="G33" i="1"/>
  <c r="I33" i="1" s="1"/>
  <c r="G34" i="1"/>
  <c r="I34" i="1" s="1"/>
  <c r="G35" i="1"/>
  <c r="I35" i="1" s="1"/>
  <c r="G36" i="1"/>
  <c r="G37" i="1"/>
  <c r="G38" i="1"/>
  <c r="I38" i="1" s="1"/>
  <c r="G39" i="1"/>
  <c r="H39" i="1" s="1"/>
  <c r="G40" i="1"/>
  <c r="H40" i="1" s="1"/>
  <c r="G41" i="1"/>
  <c r="G42" i="1"/>
  <c r="G43" i="1"/>
  <c r="G44" i="1"/>
  <c r="I44" i="1" s="1"/>
  <c r="G45" i="1"/>
  <c r="G46" i="1"/>
  <c r="G47" i="1"/>
  <c r="I47" i="1" s="1"/>
  <c r="G48" i="1"/>
  <c r="I48" i="1" s="1"/>
  <c r="M48" i="1" s="1"/>
  <c r="G49" i="1"/>
  <c r="G50" i="1"/>
  <c r="I50" i="1" s="1"/>
  <c r="G51" i="1"/>
  <c r="G52" i="1"/>
  <c r="H52" i="1" s="1"/>
  <c r="G53" i="1"/>
  <c r="G54" i="1"/>
  <c r="G55" i="1"/>
  <c r="H55" i="1" s="1"/>
  <c r="G56" i="1"/>
  <c r="G57" i="1"/>
  <c r="I57" i="1" s="1"/>
  <c r="G58" i="1"/>
  <c r="I58" i="1" s="1"/>
  <c r="G59" i="1"/>
  <c r="G60" i="1"/>
  <c r="G61" i="1"/>
  <c r="I61" i="1" s="1"/>
  <c r="M61" i="1" s="1"/>
  <c r="Q61" i="1" s="1"/>
  <c r="G62" i="1"/>
  <c r="I62" i="1" s="1"/>
  <c r="M62" i="1" s="1"/>
  <c r="G63" i="1"/>
  <c r="I63" i="1" s="1"/>
  <c r="G64" i="1"/>
  <c r="G65" i="1"/>
  <c r="I65" i="1" s="1"/>
  <c r="M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G72" i="1"/>
  <c r="G73" i="1"/>
  <c r="I73" i="1" s="1"/>
  <c r="G74" i="1"/>
  <c r="G75" i="1"/>
  <c r="H75" i="1" s="1"/>
  <c r="G76" i="1"/>
  <c r="G77" i="1"/>
  <c r="I77" i="1" s="1"/>
  <c r="M77" i="1" s="1"/>
  <c r="Q77" i="1" s="1"/>
  <c r="G78" i="1"/>
  <c r="G79" i="1"/>
  <c r="G80" i="1"/>
  <c r="I80" i="1" s="1"/>
  <c r="G81" i="1"/>
  <c r="I81" i="1" s="1"/>
  <c r="G82" i="1"/>
  <c r="I82" i="1" s="1"/>
  <c r="G83" i="1"/>
  <c r="G84" i="1"/>
  <c r="G85" i="1"/>
  <c r="G86" i="1"/>
  <c r="G87" i="1"/>
  <c r="I87" i="1" s="1"/>
  <c r="G88" i="1"/>
  <c r="G89" i="1"/>
  <c r="I89" i="1" s="1"/>
  <c r="G90" i="1"/>
  <c r="I90" i="1" s="1"/>
  <c r="G91" i="1"/>
  <c r="G92" i="1"/>
  <c r="I92" i="1" s="1"/>
  <c r="G93" i="1"/>
  <c r="I93" i="1" s="1"/>
  <c r="G94" i="1"/>
  <c r="I94" i="1" s="1"/>
  <c r="G95" i="1"/>
  <c r="H95" i="1" s="1"/>
  <c r="G96" i="1"/>
  <c r="H96" i="1" s="1"/>
  <c r="G97" i="1"/>
  <c r="I97" i="1" s="1"/>
  <c r="G98" i="1"/>
  <c r="I98" i="1" s="1"/>
  <c r="M98" i="1" s="1"/>
  <c r="G99" i="1"/>
  <c r="G100" i="1"/>
  <c r="G101" i="1"/>
  <c r="G102" i="1"/>
  <c r="G103" i="1"/>
  <c r="H103" i="1" s="1"/>
  <c r="G104" i="1"/>
  <c r="I104" i="1" s="1"/>
  <c r="G105" i="1"/>
  <c r="I105" i="1" s="1"/>
  <c r="G106" i="1"/>
  <c r="I106" i="1" s="1"/>
  <c r="G107" i="1"/>
  <c r="G108" i="1"/>
  <c r="I108" i="1" s="1"/>
  <c r="G109" i="1"/>
  <c r="I109" i="1" s="1"/>
  <c r="G110" i="1"/>
  <c r="I110" i="1" s="1"/>
  <c r="M110" i="1" s="1"/>
  <c r="G111" i="1"/>
  <c r="H111" i="1" s="1"/>
  <c r="G112" i="1"/>
  <c r="G113" i="1"/>
  <c r="G114" i="1"/>
  <c r="G115" i="1"/>
  <c r="G116" i="1"/>
  <c r="G117" i="1"/>
  <c r="H117" i="1" s="1"/>
  <c r="G118" i="1"/>
  <c r="I118" i="1" s="1"/>
  <c r="M122" i="1" s="1"/>
  <c r="G119" i="1"/>
  <c r="I119" i="1" s="1"/>
  <c r="G120" i="1"/>
  <c r="G121" i="1"/>
  <c r="G122" i="1"/>
  <c r="I122" i="1" s="1"/>
  <c r="G123" i="1"/>
  <c r="I123" i="1" s="1"/>
  <c r="G124" i="1"/>
  <c r="I124" i="1" s="1"/>
  <c r="G125" i="1"/>
  <c r="I125" i="1" s="1"/>
  <c r="G126" i="1"/>
  <c r="H126" i="1" s="1"/>
  <c r="G127" i="1"/>
  <c r="I127" i="1" s="1"/>
  <c r="M127" i="1" s="1"/>
  <c r="G128" i="1"/>
  <c r="I128" i="1" s="1"/>
  <c r="G129" i="1"/>
  <c r="H129" i="1" s="1"/>
  <c r="G130" i="1"/>
  <c r="G131" i="1"/>
  <c r="H131" i="1" s="1"/>
  <c r="G132" i="1"/>
  <c r="G133" i="1"/>
  <c r="G134" i="1"/>
  <c r="G135" i="1"/>
  <c r="I135" i="1" s="1"/>
  <c r="G136" i="1"/>
  <c r="I136" i="1" s="1"/>
  <c r="G137" i="1"/>
  <c r="I137" i="1" s="1"/>
  <c r="G138" i="1"/>
  <c r="I138" i="1" s="1"/>
  <c r="G139" i="1"/>
  <c r="G140" i="1"/>
  <c r="I140" i="1" s="1"/>
  <c r="G141" i="1"/>
  <c r="G142" i="1"/>
  <c r="I142" i="1" s="1"/>
  <c r="G143" i="1"/>
  <c r="H143" i="1" s="1"/>
  <c r="G144" i="1"/>
  <c r="H144" i="1" s="1"/>
  <c r="G145" i="1"/>
  <c r="H145" i="1" s="1"/>
  <c r="G146" i="1"/>
  <c r="Q122" i="1" l="1"/>
  <c r="Q62" i="1"/>
  <c r="Q98" i="1"/>
  <c r="L55" i="1"/>
  <c r="P55" i="1" s="1"/>
  <c r="M138" i="1"/>
  <c r="M124" i="1"/>
  <c r="M128" i="1"/>
  <c r="L96" i="1"/>
  <c r="P96" i="1" s="1"/>
  <c r="M82" i="1"/>
  <c r="Q12" i="1"/>
  <c r="M108" i="1"/>
  <c r="M38" i="1"/>
  <c r="Q65" i="1"/>
  <c r="Q110" i="1"/>
  <c r="M119" i="1"/>
  <c r="M105" i="1"/>
  <c r="Q97" i="1"/>
  <c r="L129" i="1"/>
  <c r="P129" i="1" s="1"/>
  <c r="M118" i="1"/>
  <c r="Q48" i="1"/>
  <c r="M34" i="1"/>
  <c r="M94" i="1"/>
  <c r="L145" i="1"/>
  <c r="P145" i="1" s="1"/>
  <c r="L131" i="1"/>
  <c r="P131" i="1" s="1"/>
  <c r="M93" i="1"/>
  <c r="L19" i="1"/>
  <c r="P19" i="1" s="1"/>
  <c r="L144" i="1"/>
  <c r="P144" i="1" s="1"/>
  <c r="Q140" i="1"/>
  <c r="Q127" i="1"/>
  <c r="Q15" i="1"/>
  <c r="M123" i="1"/>
  <c r="M109" i="1"/>
  <c r="M81" i="1"/>
  <c r="L67" i="1"/>
  <c r="P67" i="1" s="1"/>
  <c r="L39" i="1"/>
  <c r="M11" i="1"/>
  <c r="I2" i="1"/>
  <c r="H86" i="1"/>
  <c r="H30" i="1"/>
  <c r="H121" i="1"/>
  <c r="L121" i="1" s="1"/>
  <c r="P121" i="1" s="1"/>
  <c r="H107" i="1"/>
  <c r="L107" i="1" s="1"/>
  <c r="P107" i="1" s="1"/>
  <c r="H79" i="1"/>
  <c r="L79" i="1" s="1"/>
  <c r="P79" i="1" s="1"/>
  <c r="H51" i="1"/>
  <c r="H37" i="1"/>
  <c r="L37" i="1" s="1"/>
  <c r="P37" i="1" s="1"/>
  <c r="H133" i="1"/>
  <c r="L133" i="1" s="1"/>
  <c r="P133" i="1" s="1"/>
  <c r="H91" i="1"/>
  <c r="H49" i="1"/>
  <c r="L49" i="1" s="1"/>
  <c r="P49" i="1" s="1"/>
  <c r="H7" i="1"/>
  <c r="L7" i="1" s="1"/>
  <c r="P7" i="1" s="1"/>
  <c r="H146" i="1"/>
  <c r="L146" i="1" s="1"/>
  <c r="P146" i="1" s="1"/>
  <c r="H132" i="1"/>
  <c r="L132" i="1" s="1"/>
  <c r="P132" i="1" s="1"/>
  <c r="H76" i="1"/>
  <c r="L76" i="1" s="1"/>
  <c r="H6" i="1"/>
  <c r="H100" i="1"/>
  <c r="L100" i="1" s="1"/>
  <c r="P100" i="1" s="1"/>
  <c r="H72" i="1"/>
  <c r="L72" i="1" s="1"/>
  <c r="P72" i="1" s="1"/>
  <c r="H141" i="1"/>
  <c r="H113" i="1"/>
  <c r="H85" i="1"/>
  <c r="L85" i="1" s="1"/>
  <c r="P85" i="1" s="1"/>
  <c r="H71" i="1"/>
  <c r="L71" i="1" s="1"/>
  <c r="P71" i="1" s="1"/>
  <c r="H43" i="1"/>
  <c r="L43" i="1" s="1"/>
  <c r="P43" i="1" s="1"/>
  <c r="H135" i="1"/>
  <c r="L135" i="1" s="1"/>
  <c r="P135" i="1" s="1"/>
  <c r="H89" i="1"/>
  <c r="L89" i="1" s="1"/>
  <c r="P89" i="1" s="1"/>
  <c r="H61" i="1"/>
  <c r="H57" i="1"/>
  <c r="L57" i="1" s="1"/>
  <c r="P57" i="1" s="1"/>
  <c r="I132" i="1"/>
  <c r="M132" i="1" s="1"/>
  <c r="I117" i="1"/>
  <c r="M117" i="1" s="1"/>
  <c r="I19" i="1"/>
  <c r="H48" i="1"/>
  <c r="H34" i="1"/>
  <c r="L34" i="1" s="1"/>
  <c r="P34" i="1" s="1"/>
  <c r="H33" i="1"/>
  <c r="H35" i="1"/>
  <c r="L35" i="1" s="1"/>
  <c r="P35" i="1" s="1"/>
  <c r="H138" i="1"/>
  <c r="I146" i="1"/>
  <c r="M146" i="1" s="1"/>
  <c r="H137" i="1"/>
  <c r="L137" i="1" s="1"/>
  <c r="P137" i="1" s="1"/>
  <c r="I145" i="1"/>
  <c r="H136" i="1"/>
  <c r="I133" i="1"/>
  <c r="M133" i="1" s="1"/>
  <c r="H119" i="1"/>
  <c r="L119" i="1" s="1"/>
  <c r="P119" i="1" s="1"/>
  <c r="I76" i="1"/>
  <c r="H90" i="1"/>
  <c r="L90" i="1" s="1"/>
  <c r="P90" i="1" s="1"/>
  <c r="I75" i="1"/>
  <c r="I72" i="1"/>
  <c r="I31" i="1"/>
  <c r="M31" i="1" s="1"/>
  <c r="H108" i="1"/>
  <c r="H65" i="1"/>
  <c r="H63" i="1"/>
  <c r="L63" i="1" s="1"/>
  <c r="P63" i="1" s="1"/>
  <c r="I103" i="1"/>
  <c r="H62" i="1"/>
  <c r="I79" i="1"/>
  <c r="M79" i="1" s="1"/>
  <c r="I112" i="1"/>
  <c r="M112" i="1" s="1"/>
  <c r="H112" i="1"/>
  <c r="L112" i="1" s="1"/>
  <c r="P112" i="1" s="1"/>
  <c r="H54" i="1"/>
  <c r="L54" i="1" s="1"/>
  <c r="P54" i="1" s="1"/>
  <c r="I54" i="1"/>
  <c r="H26" i="1"/>
  <c r="L26" i="1" s="1"/>
  <c r="P26" i="1" s="1"/>
  <c r="I26" i="1"/>
  <c r="M26" i="1" s="1"/>
  <c r="H53" i="1"/>
  <c r="I53" i="1"/>
  <c r="H28" i="1"/>
  <c r="L28" i="1" s="1"/>
  <c r="P28" i="1" s="1"/>
  <c r="H12" i="1"/>
  <c r="L12" i="1" s="1"/>
  <c r="P12" i="1" s="1"/>
  <c r="H25" i="1"/>
  <c r="L25" i="1" s="1"/>
  <c r="P25" i="1" s="1"/>
  <c r="I25" i="1"/>
  <c r="M25" i="1" s="1"/>
  <c r="H11" i="1"/>
  <c r="H56" i="1"/>
  <c r="L56" i="1" s="1"/>
  <c r="P56" i="1" s="1"/>
  <c r="I56" i="1"/>
  <c r="M56" i="1" s="1"/>
  <c r="H128" i="1"/>
  <c r="L128" i="1" s="1"/>
  <c r="P128" i="1" s="1"/>
  <c r="H118" i="1"/>
  <c r="H47" i="1"/>
  <c r="L47" i="1" s="1"/>
  <c r="P47" i="1" s="1"/>
  <c r="I131" i="1"/>
  <c r="M131" i="1" s="1"/>
  <c r="I52" i="1"/>
  <c r="M52" i="1" s="1"/>
  <c r="H44" i="1"/>
  <c r="L44" i="1" s="1"/>
  <c r="P44" i="1" s="1"/>
  <c r="I129" i="1"/>
  <c r="M129" i="1" s="1"/>
  <c r="I51" i="1"/>
  <c r="M51" i="1" s="1"/>
  <c r="H38" i="1"/>
  <c r="L38" i="1" s="1"/>
  <c r="P38" i="1" s="1"/>
  <c r="I121" i="1"/>
  <c r="I49" i="1"/>
  <c r="M49" i="1" s="1"/>
  <c r="H93" i="1"/>
  <c r="H142" i="1"/>
  <c r="L142" i="1" s="1"/>
  <c r="I86" i="1"/>
  <c r="M86" i="1" s="1"/>
  <c r="I24" i="1"/>
  <c r="I111" i="1"/>
  <c r="M111" i="1" s="1"/>
  <c r="H110" i="1"/>
  <c r="L110" i="1" s="1"/>
  <c r="P110" i="1" s="1"/>
  <c r="H109" i="1"/>
  <c r="L109" i="1" s="1"/>
  <c r="P109" i="1" s="1"/>
  <c r="H82" i="1"/>
  <c r="H81" i="1"/>
  <c r="I107" i="1"/>
  <c r="I71" i="1"/>
  <c r="H80" i="1"/>
  <c r="H27" i="1"/>
  <c r="I70" i="1"/>
  <c r="M70" i="1" s="1"/>
  <c r="I43" i="1"/>
  <c r="M43" i="1" s="1"/>
  <c r="H127" i="1"/>
  <c r="H106" i="1"/>
  <c r="L106" i="1" s="1"/>
  <c r="P106" i="1" s="1"/>
  <c r="I96" i="1"/>
  <c r="M96" i="1" s="1"/>
  <c r="I69" i="1"/>
  <c r="M69" i="1" s="1"/>
  <c r="I40" i="1"/>
  <c r="I10" i="1"/>
  <c r="H125" i="1"/>
  <c r="H105" i="1"/>
  <c r="H77" i="1"/>
  <c r="L77" i="1" s="1"/>
  <c r="I95" i="1"/>
  <c r="I68" i="1"/>
  <c r="I39" i="1"/>
  <c r="M39" i="1" s="1"/>
  <c r="Q39" i="1" s="1"/>
  <c r="I7" i="1"/>
  <c r="M7" i="1" s="1"/>
  <c r="H124" i="1"/>
  <c r="H104" i="1"/>
  <c r="L104" i="1" s="1"/>
  <c r="P104" i="1" s="1"/>
  <c r="H23" i="1"/>
  <c r="L23" i="1" s="1"/>
  <c r="P23" i="1" s="1"/>
  <c r="I91" i="1"/>
  <c r="M91" i="1" s="1"/>
  <c r="I67" i="1"/>
  <c r="M67" i="1" s="1"/>
  <c r="I6" i="1"/>
  <c r="H123" i="1"/>
  <c r="L123" i="1" s="1"/>
  <c r="P123" i="1" s="1"/>
  <c r="H22" i="1"/>
  <c r="I37" i="1"/>
  <c r="M37" i="1" s="1"/>
  <c r="H122" i="1"/>
  <c r="H97" i="1"/>
  <c r="H20" i="1"/>
  <c r="I85" i="1"/>
  <c r="M85" i="1" s="1"/>
  <c r="H15" i="1"/>
  <c r="H140" i="1"/>
  <c r="H94" i="1"/>
  <c r="H14" i="1"/>
  <c r="L14" i="1" s="1"/>
  <c r="P14" i="1" s="1"/>
  <c r="I55" i="1"/>
  <c r="M55" i="1" s="1"/>
  <c r="H130" i="1"/>
  <c r="L130" i="1" s="1"/>
  <c r="P130" i="1" s="1"/>
  <c r="I130" i="1"/>
  <c r="M130" i="1" s="1"/>
  <c r="H116" i="1"/>
  <c r="L116" i="1" s="1"/>
  <c r="P116" i="1" s="1"/>
  <c r="I116" i="1"/>
  <c r="H102" i="1"/>
  <c r="I102" i="1"/>
  <c r="H88" i="1"/>
  <c r="I88" i="1"/>
  <c r="H74" i="1"/>
  <c r="L74" i="1" s="1"/>
  <c r="P74" i="1" s="1"/>
  <c r="I74" i="1"/>
  <c r="M74" i="1" s="1"/>
  <c r="H60" i="1"/>
  <c r="I60" i="1"/>
  <c r="H46" i="1"/>
  <c r="L46" i="1" s="1"/>
  <c r="P46" i="1" s="1"/>
  <c r="I46" i="1"/>
  <c r="H32" i="1"/>
  <c r="L32" i="1" s="1"/>
  <c r="I32" i="1"/>
  <c r="M32" i="1" s="1"/>
  <c r="Q32" i="1" s="1"/>
  <c r="H18" i="1"/>
  <c r="L18" i="1" s="1"/>
  <c r="P18" i="1" s="1"/>
  <c r="I18" i="1"/>
  <c r="H4" i="1"/>
  <c r="I4" i="1"/>
  <c r="M8" i="1" s="1"/>
  <c r="I144" i="1"/>
  <c r="M144" i="1" s="1"/>
  <c r="I134" i="1"/>
  <c r="H134" i="1"/>
  <c r="I120" i="1"/>
  <c r="M120" i="1" s="1"/>
  <c r="H120" i="1"/>
  <c r="I78" i="1"/>
  <c r="M78" i="1" s="1"/>
  <c r="H78" i="1"/>
  <c r="L78" i="1" s="1"/>
  <c r="P78" i="1" s="1"/>
  <c r="I64" i="1"/>
  <c r="M64" i="1" s="1"/>
  <c r="H64" i="1"/>
  <c r="L64" i="1" s="1"/>
  <c r="P64" i="1" s="1"/>
  <c r="I36" i="1"/>
  <c r="H36" i="1"/>
  <c r="L36" i="1" s="1"/>
  <c r="P36" i="1" s="1"/>
  <c r="H73" i="1"/>
  <c r="L73" i="1" s="1"/>
  <c r="P73" i="1" s="1"/>
  <c r="H50" i="1"/>
  <c r="H8" i="1"/>
  <c r="L8" i="1" s="1"/>
  <c r="P8" i="1" s="1"/>
  <c r="I30" i="1"/>
  <c r="M30" i="1" s="1"/>
  <c r="H21" i="1"/>
  <c r="L21" i="1" s="1"/>
  <c r="P21" i="1" s="1"/>
  <c r="I21" i="1"/>
  <c r="M21" i="1" s="1"/>
  <c r="H92" i="1"/>
  <c r="L92" i="1" s="1"/>
  <c r="P92" i="1" s="1"/>
  <c r="H3" i="1"/>
  <c r="I126" i="1"/>
  <c r="M126" i="1" s="1"/>
  <c r="I100" i="1"/>
  <c r="H115" i="1"/>
  <c r="L115" i="1" s="1"/>
  <c r="P115" i="1" s="1"/>
  <c r="I115" i="1"/>
  <c r="M115" i="1" s="1"/>
  <c r="H87" i="1"/>
  <c r="L87" i="1" s="1"/>
  <c r="P87" i="1" s="1"/>
  <c r="H114" i="1"/>
  <c r="L114" i="1" s="1"/>
  <c r="P114" i="1" s="1"/>
  <c r="I114" i="1"/>
  <c r="M114" i="1" s="1"/>
  <c r="I101" i="1"/>
  <c r="M101" i="1" s="1"/>
  <c r="H101" i="1"/>
  <c r="I59" i="1"/>
  <c r="H59" i="1"/>
  <c r="L59" i="1" s="1"/>
  <c r="P59" i="1" s="1"/>
  <c r="I45" i="1"/>
  <c r="H45" i="1"/>
  <c r="I143" i="1"/>
  <c r="M143" i="1" s="1"/>
  <c r="H99" i="1"/>
  <c r="L99" i="1" s="1"/>
  <c r="P99" i="1" s="1"/>
  <c r="I99" i="1"/>
  <c r="M99" i="1" s="1"/>
  <c r="I29" i="1"/>
  <c r="M29" i="1" s="1"/>
  <c r="H29" i="1"/>
  <c r="L29" i="1" s="1"/>
  <c r="P29" i="1" s="1"/>
  <c r="I141" i="1"/>
  <c r="M141" i="1" s="1"/>
  <c r="H84" i="1"/>
  <c r="L84" i="1" s="1"/>
  <c r="P84" i="1" s="1"/>
  <c r="I84" i="1"/>
  <c r="M84" i="1" s="1"/>
  <c r="H42" i="1"/>
  <c r="I42" i="1"/>
  <c r="M42" i="1" s="1"/>
  <c r="H17" i="1"/>
  <c r="I139" i="1"/>
  <c r="M139" i="1" s="1"/>
  <c r="H139" i="1"/>
  <c r="I83" i="1"/>
  <c r="H83" i="1"/>
  <c r="L83" i="1" s="1"/>
  <c r="P83" i="1" s="1"/>
  <c r="H41" i="1"/>
  <c r="L41" i="1" s="1"/>
  <c r="I41" i="1"/>
  <c r="M41" i="1" s="1"/>
  <c r="Q41" i="1" s="1"/>
  <c r="I13" i="1"/>
  <c r="H13" i="1"/>
  <c r="L13" i="1" s="1"/>
  <c r="P13" i="1" s="1"/>
  <c r="H98" i="1"/>
  <c r="L98" i="1" s="1"/>
  <c r="P98" i="1" s="1"/>
  <c r="H58" i="1"/>
  <c r="L58" i="1" s="1"/>
  <c r="P58" i="1" s="1"/>
  <c r="H16" i="1"/>
  <c r="I113" i="1"/>
  <c r="M113" i="1" s="1"/>
  <c r="I66" i="1"/>
  <c r="M66" i="1" s="1"/>
  <c r="I5" i="1"/>
  <c r="M9" i="1" s="1"/>
  <c r="H9" i="1"/>
  <c r="L9" i="1" s="1"/>
  <c r="P9" i="1" s="1"/>
  <c r="N76" i="1" l="1"/>
  <c r="P76" i="1"/>
  <c r="Q141" i="1"/>
  <c r="N130" i="1"/>
  <c r="Q130" i="1"/>
  <c r="M6" i="1"/>
  <c r="M40" i="1"/>
  <c r="Q40" i="1" s="1"/>
  <c r="M44" i="1"/>
  <c r="M54" i="1"/>
  <c r="M58" i="1"/>
  <c r="M76" i="1"/>
  <c r="Q76" i="1" s="1"/>
  <c r="M80" i="1"/>
  <c r="N132" i="1"/>
  <c r="Q132" i="1"/>
  <c r="Q11" i="1"/>
  <c r="N115" i="1"/>
  <c r="Q115" i="1"/>
  <c r="N67" i="1"/>
  <c r="Q67" i="1"/>
  <c r="Q111" i="1"/>
  <c r="L118" i="1"/>
  <c r="P118" i="1" s="1"/>
  <c r="N110" i="1"/>
  <c r="Q29" i="1"/>
  <c r="N29" i="1"/>
  <c r="M46" i="1"/>
  <c r="M50" i="1"/>
  <c r="Q55" i="1"/>
  <c r="N55" i="1"/>
  <c r="Q96" i="1"/>
  <c r="N96" i="1"/>
  <c r="L61" i="1"/>
  <c r="N128" i="1"/>
  <c r="Q128" i="1"/>
  <c r="N99" i="1"/>
  <c r="Q99" i="1"/>
  <c r="M100" i="1"/>
  <c r="N86" i="1"/>
  <c r="Q86" i="1"/>
  <c r="N112" i="1"/>
  <c r="Q112" i="1"/>
  <c r="Q124" i="1"/>
  <c r="N124" i="1"/>
  <c r="N41" i="1"/>
  <c r="P41" i="1"/>
  <c r="N78" i="1"/>
  <c r="Q78" i="1"/>
  <c r="M60" i="1"/>
  <c r="N142" i="1"/>
  <c r="P142" i="1"/>
  <c r="M145" i="1"/>
  <c r="L91" i="1"/>
  <c r="P91" i="1" s="1"/>
  <c r="N138" i="1"/>
  <c r="Q138" i="1"/>
  <c r="L60" i="1"/>
  <c r="P60" i="1" s="1"/>
  <c r="L124" i="1"/>
  <c r="P124" i="1" s="1"/>
  <c r="N43" i="1"/>
  <c r="Q43" i="1"/>
  <c r="L11" i="1"/>
  <c r="P11" i="1" s="1"/>
  <c r="M83" i="1"/>
  <c r="M87" i="1"/>
  <c r="L45" i="1"/>
  <c r="P45" i="1" s="1"/>
  <c r="N74" i="1"/>
  <c r="Q74" i="1"/>
  <c r="L15" i="1"/>
  <c r="N70" i="1"/>
  <c r="Q70" i="1"/>
  <c r="N25" i="1"/>
  <c r="Q25" i="1"/>
  <c r="M103" i="1"/>
  <c r="Q123" i="1"/>
  <c r="N123" i="1"/>
  <c r="M33" i="1"/>
  <c r="M90" i="1"/>
  <c r="L139" i="1"/>
  <c r="P139" i="1" s="1"/>
  <c r="L143" i="1"/>
  <c r="P143" i="1" s="1"/>
  <c r="M45" i="1"/>
  <c r="L134" i="1"/>
  <c r="P134" i="1" s="1"/>
  <c r="M137" i="1"/>
  <c r="N98" i="1"/>
  <c r="N139" i="1"/>
  <c r="Q139" i="1"/>
  <c r="M134" i="1"/>
  <c r="M92" i="1"/>
  <c r="M88" i="1"/>
  <c r="M68" i="1"/>
  <c r="L80" i="1"/>
  <c r="P80" i="1" s="1"/>
  <c r="L65" i="1"/>
  <c r="L113" i="1"/>
  <c r="P113" i="1" s="1"/>
  <c r="M136" i="1"/>
  <c r="Q9" i="1"/>
  <c r="N9" i="1"/>
  <c r="M59" i="1"/>
  <c r="M63" i="1"/>
  <c r="N144" i="1"/>
  <c r="Q144" i="1"/>
  <c r="L101" i="1"/>
  <c r="P101" i="1" s="1"/>
  <c r="M10" i="1"/>
  <c r="M14" i="1"/>
  <c r="N131" i="1"/>
  <c r="Q131" i="1"/>
  <c r="Q117" i="1"/>
  <c r="Q105" i="1"/>
  <c r="N105" i="1"/>
  <c r="Q82" i="1"/>
  <c r="Q119" i="1"/>
  <c r="N119" i="1"/>
  <c r="N32" i="1"/>
  <c r="P32" i="1"/>
  <c r="Q69" i="1"/>
  <c r="N39" i="1"/>
  <c r="P39" i="1"/>
  <c r="Q94" i="1"/>
  <c r="M13" i="1"/>
  <c r="M17" i="1"/>
  <c r="Q64" i="1"/>
  <c r="N64" i="1"/>
  <c r="Q91" i="1"/>
  <c r="N91" i="1"/>
  <c r="M24" i="1"/>
  <c r="M28" i="1"/>
  <c r="Q133" i="1"/>
  <c r="N133" i="1"/>
  <c r="Q56" i="1"/>
  <c r="N56" i="1"/>
  <c r="L136" i="1"/>
  <c r="P136" i="1" s="1"/>
  <c r="Q81" i="1"/>
  <c r="N81" i="1"/>
  <c r="N34" i="1"/>
  <c r="Q34" i="1"/>
  <c r="Q126" i="1"/>
  <c r="L94" i="1"/>
  <c r="P94" i="1" s="1"/>
  <c r="L127" i="1"/>
  <c r="N79" i="1"/>
  <c r="Q79" i="1"/>
  <c r="L95" i="1"/>
  <c r="P95" i="1" s="1"/>
  <c r="M135" i="1"/>
  <c r="Q143" i="1"/>
  <c r="L120" i="1"/>
  <c r="P120" i="1" s="1"/>
  <c r="L140" i="1"/>
  <c r="L93" i="1"/>
  <c r="P93" i="1" s="1"/>
  <c r="L62" i="1"/>
  <c r="N109" i="1"/>
  <c r="Q109" i="1"/>
  <c r="N38" i="1"/>
  <c r="Q38" i="1"/>
  <c r="Q120" i="1"/>
  <c r="Q7" i="1"/>
  <c r="N7" i="1"/>
  <c r="Q49" i="1"/>
  <c r="N49" i="1"/>
  <c r="N146" i="1"/>
  <c r="Q146" i="1"/>
  <c r="L66" i="1"/>
  <c r="P66" i="1" s="1"/>
  <c r="Q21" i="1"/>
  <c r="N21" i="1"/>
  <c r="N85" i="1"/>
  <c r="Q85" i="1"/>
  <c r="L27" i="1"/>
  <c r="M121" i="1"/>
  <c r="M125" i="1"/>
  <c r="L138" i="1"/>
  <c r="P138" i="1" s="1"/>
  <c r="L51" i="1"/>
  <c r="P51" i="1" s="1"/>
  <c r="M47" i="1"/>
  <c r="M104" i="1"/>
  <c r="Q108" i="1"/>
  <c r="L24" i="1"/>
  <c r="P24" i="1" s="1"/>
  <c r="L20" i="1"/>
  <c r="L75" i="1"/>
  <c r="P75" i="1" s="1"/>
  <c r="N118" i="1"/>
  <c r="Q118" i="1"/>
  <c r="L31" i="1"/>
  <c r="P31" i="1" s="1"/>
  <c r="L17" i="1"/>
  <c r="P17" i="1" s="1"/>
  <c r="Q30" i="1"/>
  <c r="L88" i="1"/>
  <c r="P88" i="1" s="1"/>
  <c r="L97" i="1"/>
  <c r="M95" i="1"/>
  <c r="M71" i="1"/>
  <c r="Q51" i="1"/>
  <c r="N51" i="1"/>
  <c r="L108" i="1"/>
  <c r="P108" i="1" s="1"/>
  <c r="L33" i="1"/>
  <c r="P33" i="1" s="1"/>
  <c r="L141" i="1"/>
  <c r="P141" i="1" s="1"/>
  <c r="L69" i="1"/>
  <c r="P69" i="1" s="1"/>
  <c r="N93" i="1"/>
  <c r="Q93" i="1"/>
  <c r="N12" i="1"/>
  <c r="M73" i="1"/>
  <c r="Q66" i="1"/>
  <c r="Q42" i="1"/>
  <c r="Q8" i="1"/>
  <c r="N8" i="1"/>
  <c r="M102" i="1"/>
  <c r="M106" i="1"/>
  <c r="L122" i="1"/>
  <c r="L126" i="1"/>
  <c r="P126" i="1" s="1"/>
  <c r="P77" i="1"/>
  <c r="N77" i="1"/>
  <c r="M107" i="1"/>
  <c r="N129" i="1"/>
  <c r="Q129" i="1"/>
  <c r="M53" i="1"/>
  <c r="Q31" i="1"/>
  <c r="L111" i="1"/>
  <c r="P111" i="1" s="1"/>
  <c r="M89" i="1"/>
  <c r="N113" i="1"/>
  <c r="Q113" i="1"/>
  <c r="L42" i="1"/>
  <c r="P42" i="1" s="1"/>
  <c r="N101" i="1"/>
  <c r="Q101" i="1"/>
  <c r="L50" i="1"/>
  <c r="P50" i="1" s="1"/>
  <c r="L102" i="1"/>
  <c r="P102" i="1" s="1"/>
  <c r="N37" i="1"/>
  <c r="Q37" i="1"/>
  <c r="L105" i="1"/>
  <c r="P105" i="1" s="1"/>
  <c r="L81" i="1"/>
  <c r="P81" i="1" s="1"/>
  <c r="L53" i="1"/>
  <c r="P53" i="1" s="1"/>
  <c r="M72" i="1"/>
  <c r="L52" i="1"/>
  <c r="P52" i="1" s="1"/>
  <c r="L48" i="1"/>
  <c r="L30" i="1"/>
  <c r="P30" i="1" s="1"/>
  <c r="M57" i="1"/>
  <c r="L103" i="1"/>
  <c r="P103" i="1" s="1"/>
  <c r="L40" i="1"/>
  <c r="L16" i="1"/>
  <c r="N84" i="1"/>
  <c r="Q84" i="1"/>
  <c r="N114" i="1"/>
  <c r="Q114" i="1"/>
  <c r="M18" i="1"/>
  <c r="M22" i="1"/>
  <c r="M116" i="1"/>
  <c r="L22" i="1"/>
  <c r="P22" i="1" s="1"/>
  <c r="L125" i="1"/>
  <c r="P125" i="1" s="1"/>
  <c r="L82" i="1"/>
  <c r="P82" i="1" s="1"/>
  <c r="N52" i="1"/>
  <c r="Q52" i="1"/>
  <c r="Q26" i="1"/>
  <c r="N26" i="1"/>
  <c r="M75" i="1"/>
  <c r="M19" i="1"/>
  <c r="M23" i="1"/>
  <c r="L10" i="1"/>
  <c r="P10" i="1" s="1"/>
  <c r="L86" i="1"/>
  <c r="P86" i="1" s="1"/>
  <c r="L117" i="1"/>
  <c r="P117" i="1" s="1"/>
  <c r="M35" i="1"/>
  <c r="L68" i="1"/>
  <c r="P68" i="1" s="1"/>
  <c r="N40" i="1" l="1"/>
  <c r="P40" i="1"/>
  <c r="P27" i="1"/>
  <c r="N27" i="1"/>
  <c r="N24" i="1"/>
  <c r="Q24" i="1"/>
  <c r="N46" i="1"/>
  <c r="Q46" i="1"/>
  <c r="Q80" i="1"/>
  <c r="N80" i="1"/>
  <c r="Q57" i="1"/>
  <c r="N57" i="1"/>
  <c r="N106" i="1"/>
  <c r="Q106" i="1"/>
  <c r="N137" i="1"/>
  <c r="Q137" i="1"/>
  <c r="N145" i="1"/>
  <c r="Q145" i="1"/>
  <c r="N100" i="1"/>
  <c r="Q100" i="1"/>
  <c r="Q58" i="1"/>
  <c r="N58" i="1"/>
  <c r="P48" i="1"/>
  <c r="N48" i="1"/>
  <c r="P20" i="1"/>
  <c r="N20" i="1"/>
  <c r="P62" i="1"/>
  <c r="N62" i="1"/>
  <c r="N54" i="1"/>
  <c r="Q54" i="1"/>
  <c r="N89" i="1"/>
  <c r="Q89" i="1"/>
  <c r="Q17" i="1"/>
  <c r="N17" i="1"/>
  <c r="N45" i="1"/>
  <c r="Q45" i="1"/>
  <c r="Q44" i="1"/>
  <c r="N44" i="1"/>
  <c r="Q72" i="1"/>
  <c r="N72" i="1"/>
  <c r="P140" i="1"/>
  <c r="N140" i="1"/>
  <c r="Q13" i="1"/>
  <c r="N13" i="1"/>
  <c r="N60" i="1"/>
  <c r="Q60" i="1"/>
  <c r="N22" i="1"/>
  <c r="Q22" i="1"/>
  <c r="N87" i="1"/>
  <c r="Q87" i="1"/>
  <c r="N42" i="1"/>
  <c r="N104" i="1"/>
  <c r="Q104" i="1"/>
  <c r="N94" i="1"/>
  <c r="N90" i="1"/>
  <c r="Q90" i="1"/>
  <c r="N143" i="1"/>
  <c r="P127" i="1"/>
  <c r="N127" i="1"/>
  <c r="P122" i="1"/>
  <c r="N122" i="1"/>
  <c r="Q63" i="1"/>
  <c r="N63" i="1"/>
  <c r="N126" i="1"/>
  <c r="N59" i="1"/>
  <c r="Q59" i="1"/>
  <c r="P15" i="1"/>
  <c r="N15" i="1"/>
  <c r="N102" i="1"/>
  <c r="Q102" i="1"/>
  <c r="N82" i="1"/>
  <c r="Q35" i="1"/>
  <c r="N35" i="1"/>
  <c r="Q116" i="1"/>
  <c r="N116" i="1"/>
  <c r="N108" i="1"/>
  <c r="N136" i="1"/>
  <c r="Q136" i="1"/>
  <c r="N111" i="1"/>
  <c r="N71" i="1"/>
  <c r="Q71" i="1"/>
  <c r="Q18" i="1"/>
  <c r="N18" i="1"/>
  <c r="N31" i="1"/>
  <c r="N95" i="1"/>
  <c r="Q95" i="1"/>
  <c r="N117" i="1"/>
  <c r="P65" i="1"/>
  <c r="N65" i="1"/>
  <c r="N83" i="1"/>
  <c r="Q83" i="1"/>
  <c r="N61" i="1"/>
  <c r="P61" i="1"/>
  <c r="N6" i="1"/>
  <c r="P6" i="1"/>
  <c r="N53" i="1"/>
  <c r="Q53" i="1"/>
  <c r="P97" i="1"/>
  <c r="N97" i="1"/>
  <c r="N47" i="1"/>
  <c r="Q47" i="1"/>
  <c r="N33" i="1"/>
  <c r="Q33" i="1"/>
  <c r="N23" i="1"/>
  <c r="Q23" i="1"/>
  <c r="N66" i="1"/>
  <c r="Q135" i="1"/>
  <c r="N135" i="1"/>
  <c r="N68" i="1"/>
  <c r="Q68" i="1"/>
  <c r="N36" i="1"/>
  <c r="N19" i="1"/>
  <c r="Q19" i="1"/>
  <c r="Q73" i="1"/>
  <c r="N73" i="1"/>
  <c r="Q14" i="1"/>
  <c r="N14" i="1"/>
  <c r="Q88" i="1"/>
  <c r="N88" i="1"/>
  <c r="N75" i="1"/>
  <c r="Q75" i="1"/>
  <c r="Q107" i="1"/>
  <c r="N107" i="1"/>
  <c r="N30" i="1"/>
  <c r="N125" i="1"/>
  <c r="Q125" i="1"/>
  <c r="N120" i="1"/>
  <c r="N69" i="1"/>
  <c r="Q10" i="1"/>
  <c r="N10" i="1"/>
  <c r="Q92" i="1"/>
  <c r="N92" i="1"/>
  <c r="N103" i="1"/>
  <c r="Q103" i="1"/>
  <c r="N11" i="1"/>
  <c r="N141" i="1"/>
  <c r="P16" i="1"/>
  <c r="N16" i="1"/>
  <c r="N121" i="1"/>
  <c r="Q121" i="1"/>
  <c r="Q28" i="1"/>
  <c r="N28" i="1"/>
  <c r="N134" i="1"/>
  <c r="Q134" i="1"/>
  <c r="N50" i="1"/>
  <c r="Q50" i="1"/>
</calcChain>
</file>

<file path=xl/sharedStrings.xml><?xml version="1.0" encoding="utf-8"?>
<sst xmlns="http://schemas.openxmlformats.org/spreadsheetml/2006/main" count="167" uniqueCount="164">
  <si>
    <t>deflator</t>
  </si>
  <si>
    <t>inflation</t>
  </si>
  <si>
    <t>quarterly inflation</t>
  </si>
  <si>
    <t>annual inflation</t>
  </si>
  <si>
    <t>capture profits</t>
  </si>
  <si>
    <t>capture wages</t>
  </si>
  <si>
    <t>should sum to 1</t>
  </si>
  <si>
    <t>1991-1</t>
  </si>
  <si>
    <t>1991-2</t>
  </si>
  <si>
    <t>1991-3</t>
  </si>
  <si>
    <t>1991-4</t>
  </si>
  <si>
    <t>1992-1</t>
  </si>
  <si>
    <t>1992-2</t>
  </si>
  <si>
    <t>1992-3</t>
  </si>
  <si>
    <t>1992-4</t>
  </si>
  <si>
    <t>1993-1</t>
  </si>
  <si>
    <t>profit</t>
  </si>
  <si>
    <t>labor</t>
  </si>
  <si>
    <t>period</t>
  </si>
  <si>
    <t>Compensation of employees</t>
  </si>
  <si>
    <t>Gross operating surplus</t>
  </si>
  <si>
    <t>Gross domestic product</t>
  </si>
  <si>
    <t>Real domestic product</t>
  </si>
  <si>
    <t>deflator compensation of employees</t>
  </si>
  <si>
    <t>deflator gross operating surplus</t>
  </si>
  <si>
    <t>All data come from the Swiss Secretariat for Economic Affair (SECO) https://www.seco.admin.ch/en/gross-domestic-product</t>
  </si>
  <si>
    <t>Profit</t>
  </si>
  <si>
    <t>Labor</t>
  </si>
  <si>
    <t>Inflation</t>
  </si>
  <si>
    <t>1993-2</t>
  </si>
  <si>
    <t>1993-3</t>
  </si>
  <si>
    <t>1993-4</t>
  </si>
  <si>
    <t>1994-1</t>
  </si>
  <si>
    <t>1994-2</t>
  </si>
  <si>
    <t>1994-3</t>
  </si>
  <si>
    <t>1994-4</t>
  </si>
  <si>
    <t>1995-1</t>
  </si>
  <si>
    <t>1995-2</t>
  </si>
  <si>
    <t>1995-3</t>
  </si>
  <si>
    <t>1995-4</t>
  </si>
  <si>
    <t>1996-1</t>
  </si>
  <si>
    <t>1996-2</t>
  </si>
  <si>
    <t>1996-3</t>
  </si>
  <si>
    <t>1996-4</t>
  </si>
  <si>
    <t>1997-1</t>
  </si>
  <si>
    <t>1997-2</t>
  </si>
  <si>
    <t>1997-3</t>
  </si>
  <si>
    <t>1997-4</t>
  </si>
  <si>
    <t>1998-1</t>
  </si>
  <si>
    <t>1998-2</t>
  </si>
  <si>
    <t>1998-3</t>
  </si>
  <si>
    <t>1998-4</t>
  </si>
  <si>
    <t>1999-1</t>
  </si>
  <si>
    <t>1999-2</t>
  </si>
  <si>
    <t>1999-3</t>
  </si>
  <si>
    <t>1999-4</t>
  </si>
  <si>
    <t>2000-1</t>
  </si>
  <si>
    <t>2000-2</t>
  </si>
  <si>
    <t>2000-3</t>
  </si>
  <si>
    <t>2000-4</t>
  </si>
  <si>
    <t>2001-1</t>
  </si>
  <si>
    <t>2001-2</t>
  </si>
  <si>
    <t>2001-3</t>
  </si>
  <si>
    <t>2001-4</t>
  </si>
  <si>
    <t>2002-1</t>
  </si>
  <si>
    <t>2002-2</t>
  </si>
  <si>
    <t>2002-3</t>
  </si>
  <si>
    <t>2002-4</t>
  </si>
  <si>
    <t>2003-1</t>
  </si>
  <si>
    <t>2003-2</t>
  </si>
  <si>
    <t>2003-3</t>
  </si>
  <si>
    <t>2003-4</t>
  </si>
  <si>
    <t>2004-1</t>
  </si>
  <si>
    <t>2004-2</t>
  </si>
  <si>
    <t>2004-3</t>
  </si>
  <si>
    <t>2004-4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</si>
  <si>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</si>
  <si>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</si>
  <si>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</si>
  <si>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</si>
  <si>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</si>
  <si>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</si>
  <si>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</si>
  <si>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</si>
  <si>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</si>
  <si>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</si>
  <si>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</si>
  <si>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</si>
  <si>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</si>
  <si>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</si>
  <si>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</si>
  <si>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</si>
  <si>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2009-1</t>
  </si>
  <si>
    <t>2009-2</t>
  </si>
  <si>
    <t>2009-3</t>
  </si>
  <si>
    <t>2009-4</t>
  </si>
  <si>
    <t>2010-1</t>
  </si>
  <si>
    <t>2010-2</t>
  </si>
  <si>
    <t>2010-3</t>
  </si>
  <si>
    <t>2010-4</t>
  </si>
  <si>
    <t>2011-1</t>
  </si>
  <si>
    <t>2011-2</t>
  </si>
  <si>
    <t>2011-3</t>
  </si>
  <si>
    <t>2011-4</t>
  </si>
  <si>
    <t>2012-1</t>
  </si>
  <si>
    <t>2012-2</t>
  </si>
  <si>
    <t>2012-3</t>
  </si>
  <si>
    <t>2012-4</t>
  </si>
  <si>
    <t>2013-1</t>
  </si>
  <si>
    <t>2013-2</t>
  </si>
  <si>
    <t>2013-3</t>
  </si>
  <si>
    <t>2013-4</t>
  </si>
  <si>
    <t>2014-1</t>
  </si>
  <si>
    <t>2014-2</t>
  </si>
  <si>
    <t>2014-3</t>
  </si>
  <si>
    <t>2014-4</t>
  </si>
  <si>
    <t>2015-1</t>
  </si>
  <si>
    <t>2015-2</t>
  </si>
  <si>
    <t>2015-3</t>
  </si>
  <si>
    <t>2015-4</t>
  </si>
  <si>
    <t>2016-1</t>
  </si>
  <si>
    <t>2016-2</t>
  </si>
  <si>
    <t>2016-3</t>
  </si>
  <si>
    <t>2016-4</t>
  </si>
  <si>
    <t>2017-1</t>
  </si>
  <si>
    <t>2017-2</t>
  </si>
  <si>
    <t>2017-3</t>
  </si>
  <si>
    <t>2017-4</t>
  </si>
  <si>
    <t>2018-1</t>
  </si>
  <si>
    <t>2018-2</t>
  </si>
  <si>
    <t>2018-3</t>
  </si>
  <si>
    <t>2018-4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</si>
  <si>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</si>
  <si>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</si>
  <si>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</si>
  <si>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</si>
  <si>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</si>
  <si>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</si>
  <si>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</si>
  <si>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</si>
  <si>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</si>
  <si>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</si>
  <si>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</si>
  <si>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</si>
  <si>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</si>
  <si>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</si>
  <si>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</si>
  <si>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</si>
  <si>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2023-1</t>
  </si>
  <si>
    <t>2023-2</t>
  </si>
  <si>
    <t>2023-3</t>
  </si>
  <si>
    <t>2023-4</t>
  </si>
  <si>
    <t>2024-1</t>
  </si>
  <si>
    <t>2024-2</t>
  </si>
  <si>
    <t>2024-3</t>
  </si>
  <si>
    <t>2024-4</t>
  </si>
  <si>
    <t>2025-1</t>
  </si>
  <si>
    <t>2025-2</t>
  </si>
  <si>
    <t>2025-3</t>
  </si>
  <si>
    <t>2025-4</t>
  </si>
  <si>
    <t>2026-1</t>
  </si>
  <si>
    <t>inflation 2020-2022</t>
  </si>
  <si>
    <t xml:space="preserve">profit </t>
  </si>
  <si>
    <t>inflation 2014-2017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</si>
</sst>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8"/>
      <color rgb="FF0000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B316-B570-46BA-A36A-355A53066919}">
  <dimension ref="A1"/>
  <sheetViews>
    <sheetView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C05D-65D1-46AA-8FA9-9F5E22D2C41F}">
  <dimension ref="A1:W146"/>
  <sheetViews>
    <sheetView zoomScale="85" workbookViewId="0">
      <selection activeCell="H1" sqref="H1:H1048576"/>
    </sheetView>
  </sheetViews>
  <sheetFormatPr baseColWidth="10" defaultRowHeight="14.5" x14ac:dyDescent="0.35"/>
  <cols>
    <col min="5" max="5" width="20.1796875" customWidth="1"/>
    <col min="6" max="6" width="25.81640625" customWidth="1"/>
    <col min="7" max="7" width="23.90625" customWidth="1"/>
    <col min="8" max="8" width="27.1796875" bestFit="1" customWidth="1"/>
    <col min="9" max="9" width="31.1796875" bestFit="1" customWidth="1"/>
    <col min="10" max="10" width="19.453125" bestFit="1" customWidth="1"/>
    <col min="11" max="11" width="19.453125" customWidth="1"/>
    <col min="20" max="20" width="17.453125" bestFit="1" customWidth="1"/>
  </cols>
  <sheetData>
    <row r="1" spans="1:23" x14ac:dyDescent="0.35">
      <c r="C1" t="s">
        <v>19</v>
      </c>
      <c r="D1" t="s">
        <v>20</v>
      </c>
      <c r="E1" t="s">
        <v>0</v>
      </c>
      <c r="F1" t="s">
        <v>21</v>
      </c>
      <c r="G1" t="s">
        <v>22</v>
      </c>
      <c r="H1" t="s">
        <v>24</v>
      </c>
      <c r="I1" t="s">
        <v>23</v>
      </c>
      <c r="J1" t="s">
        <v>2</v>
      </c>
      <c r="K1" t="s">
        <v>3</v>
      </c>
      <c r="L1" t="s">
        <v>4</v>
      </c>
      <c r="M1" t="s">
        <v>5</v>
      </c>
    </row>
    <row r="2" spans="1:23" x14ac:dyDescent="0.35">
      <c r="A2" s="1">
        <v>1990</v>
      </c>
      <c r="B2" s="1">
        <v>1</v>
      </c>
      <c r="C2" s="2">
        <v>54221.761795313403</v>
      </c>
      <c r="D2" s="2">
        <v>36589.226093155914</v>
      </c>
      <c r="E2" s="3">
        <v>80.615477105066105</v>
      </c>
      <c r="F2" s="2">
        <v>90810.987888469404</v>
      </c>
      <c r="G2">
        <f t="shared" ref="G2:G33" si="0">F2/(E2)</f>
        <v>1126.4708856106563</v>
      </c>
      <c r="H2">
        <f t="shared" ref="H2:H33" si="1">D2/G2</f>
        <v>32.481288740384102</v>
      </c>
      <c r="I2">
        <f t="shared" ref="I2:I33" si="2">C2/G2</f>
        <v>48.134188364681933</v>
      </c>
    </row>
    <row r="3" spans="1:23" x14ac:dyDescent="0.35">
      <c r="A3" s="1">
        <v>1990</v>
      </c>
      <c r="B3" s="1">
        <v>2</v>
      </c>
      <c r="C3" s="2">
        <v>49681.891218393699</v>
      </c>
      <c r="D3" s="2">
        <v>43886.626471700598</v>
      </c>
      <c r="E3" s="3">
        <v>81.4793747494857</v>
      </c>
      <c r="F3" s="2">
        <v>93568.517690094304</v>
      </c>
      <c r="G3">
        <f t="shared" si="0"/>
        <v>1148.3705904442388</v>
      </c>
      <c r="H3">
        <f t="shared" si="1"/>
        <v>38.216431905247049</v>
      </c>
      <c r="I3">
        <f t="shared" si="2"/>
        <v>43.262942844238651</v>
      </c>
      <c r="J3">
        <f t="shared" ref="J3:J34" si="3">(E3-E2)/E2</f>
        <v>1.0716275279170989E-2</v>
      </c>
    </row>
    <row r="4" spans="1:23" x14ac:dyDescent="0.35">
      <c r="A4" s="1">
        <v>1990</v>
      </c>
      <c r="B4" s="1">
        <v>3</v>
      </c>
      <c r="C4" s="2">
        <v>49017.300671671197</v>
      </c>
      <c r="D4" s="2">
        <v>44509.745255512978</v>
      </c>
      <c r="E4" s="3">
        <v>82.1454405731902</v>
      </c>
      <c r="F4" s="2">
        <v>93527.045927184299</v>
      </c>
      <c r="G4">
        <f t="shared" si="0"/>
        <v>1138.5543162782515</v>
      </c>
      <c r="H4">
        <f t="shared" si="1"/>
        <v>39.093211996251597</v>
      </c>
      <c r="I4">
        <f t="shared" si="2"/>
        <v>43.052228576938489</v>
      </c>
      <c r="J4">
        <f t="shared" si="3"/>
        <v>8.1746555585676499E-3</v>
      </c>
    </row>
    <row r="5" spans="1:23" x14ac:dyDescent="0.35">
      <c r="A5" s="1">
        <v>1990</v>
      </c>
      <c r="B5" s="1">
        <v>4</v>
      </c>
      <c r="C5" s="2">
        <v>50810.058460660701</v>
      </c>
      <c r="D5" s="2">
        <v>46045.426652158305</v>
      </c>
      <c r="E5" s="3">
        <v>82.978679994592994</v>
      </c>
      <c r="F5" s="2">
        <v>96855.485112819006</v>
      </c>
      <c r="G5">
        <f t="shared" si="0"/>
        <v>1167.233379937235</v>
      </c>
      <c r="H5">
        <f t="shared" si="1"/>
        <v>39.448346357807452</v>
      </c>
      <c r="I5">
        <f t="shared" si="2"/>
        <v>43.530333636785542</v>
      </c>
      <c r="J5">
        <f t="shared" si="3"/>
        <v>1.0143465243946097E-2</v>
      </c>
      <c r="N5" t="s">
        <v>6</v>
      </c>
      <c r="P5" t="s">
        <v>16</v>
      </c>
      <c r="Q5" t="s">
        <v>17</v>
      </c>
      <c r="R5" t="s">
        <v>1</v>
      </c>
      <c r="T5" t="s">
        <v>161</v>
      </c>
      <c r="U5" t="s">
        <v>162</v>
      </c>
      <c r="V5" t="s">
        <v>17</v>
      </c>
    </row>
    <row r="6" spans="1:23" x14ac:dyDescent="0.35">
      <c r="A6" s="1">
        <v>1991</v>
      </c>
      <c r="B6" s="1">
        <v>1</v>
      </c>
      <c r="C6" s="2">
        <v>57595.745300523398</v>
      </c>
      <c r="D6" s="2">
        <v>38046.323979212844</v>
      </c>
      <c r="E6" s="3">
        <v>85.079653733386294</v>
      </c>
      <c r="F6" s="2">
        <v>95642.069279736301</v>
      </c>
      <c r="G6">
        <f t="shared" si="0"/>
        <v>1124.1473734654514</v>
      </c>
      <c r="H6">
        <f t="shared" si="1"/>
        <v>33.844605144542577</v>
      </c>
      <c r="I6">
        <f t="shared" si="2"/>
        <v>51.235048588843675</v>
      </c>
      <c r="J6">
        <f t="shared" si="3"/>
        <v>2.5319440354199446E-2</v>
      </c>
      <c r="K6" s="4">
        <f>(E6-E2)/E2</f>
        <v>5.5376173268838071E-2</v>
      </c>
      <c r="L6">
        <f>(H6-H2)/(E6-E2)</f>
        <v>0.30539033682264338</v>
      </c>
      <c r="M6">
        <f>(I6-I2)/(E6-E2)</f>
        <v>0.69460966317736306</v>
      </c>
      <c r="N6">
        <f>M6+L6</f>
        <v>1.0000000000000064</v>
      </c>
      <c r="O6" t="str">
        <f>"Q"&amp;A6&amp;"-"&amp;B6</f>
        <v>Q1991-1</v>
      </c>
      <c r="P6">
        <f>L6*K6</f>
        <v>1.691134820651952E-2</v>
      </c>
      <c r="Q6">
        <f>M6*K6</f>
        <v>3.8464825062318908E-2</v>
      </c>
      <c r="R6">
        <f>E6/E2-1</f>
        <v>5.5376173268838036E-2</v>
      </c>
      <c r="T6">
        <f>E133/E122 - 1</f>
        <v>5.4201523779288108E-2</v>
      </c>
      <c r="U6">
        <f>(H133-H122)/(E133-E122)*T6</f>
        <v>0.12656103516813291</v>
      </c>
      <c r="V6">
        <f>(I133-I122)/(E133-E122)*T6</f>
        <v>-7.2359511388841682E-2</v>
      </c>
      <c r="W6">
        <f>V6+U6</f>
        <v>5.420152377929123E-2</v>
      </c>
    </row>
    <row r="7" spans="1:23" x14ac:dyDescent="0.35">
      <c r="A7" s="1">
        <v>1991</v>
      </c>
      <c r="B7" s="1">
        <v>2</v>
      </c>
      <c r="C7" s="2">
        <v>53862.601014582098</v>
      </c>
      <c r="D7" s="2">
        <v>43739.775087233807</v>
      </c>
      <c r="E7" s="3">
        <v>86.110504220326604</v>
      </c>
      <c r="F7" s="2">
        <v>97602.376101816</v>
      </c>
      <c r="G7">
        <f t="shared" si="0"/>
        <v>1133.4549366019937</v>
      </c>
      <c r="H7">
        <f t="shared" si="1"/>
        <v>38.589778627072832</v>
      </c>
      <c r="I7">
        <f t="shared" si="2"/>
        <v>47.520725593253687</v>
      </c>
      <c r="J7">
        <f t="shared" si="3"/>
        <v>1.2116298570874309E-2</v>
      </c>
      <c r="K7" s="4">
        <f t="shared" ref="K7:K37" si="4">(E7-E3)/E3</f>
        <v>5.6838058528058788E-2</v>
      </c>
      <c r="L7">
        <f t="shared" ref="L7:L70" si="5">(H7-H3)/(E7-E3)</f>
        <v>8.0616774844343084E-2</v>
      </c>
      <c r="M7">
        <f t="shared" ref="M7:M70" si="6">(I7-I3)/(E7-E3)</f>
        <v>0.91938322515563853</v>
      </c>
      <c r="N7">
        <f>M7+L7</f>
        <v>0.99999999999998157</v>
      </c>
      <c r="O7" t="str">
        <f t="shared" ref="O7:O70" si="7">"Q"&amp;A7&amp;"-"&amp;B7</f>
        <v>Q1991-2</v>
      </c>
      <c r="P7">
        <f t="shared" ref="P7:P70" si="8">L7*K7</f>
        <v>4.5821009669461095E-3</v>
      </c>
      <c r="Q7">
        <f t="shared" ref="Q7:Q70" si="9">M7*K7</f>
        <v>5.2255957561111635E-2</v>
      </c>
      <c r="R7">
        <f t="shared" ref="R7:R70" si="10">E7/E3-1</f>
        <v>5.6838058528058788E-2</v>
      </c>
    </row>
    <row r="8" spans="1:23" x14ac:dyDescent="0.35">
      <c r="A8" s="1">
        <v>1991</v>
      </c>
      <c r="B8" s="1">
        <v>3</v>
      </c>
      <c r="C8" s="2">
        <v>52670.360488553903</v>
      </c>
      <c r="D8" s="2">
        <v>44824.333329792746</v>
      </c>
      <c r="E8" s="3">
        <v>86.780910131921999</v>
      </c>
      <c r="F8" s="2">
        <v>97494.693818346597</v>
      </c>
      <c r="G8">
        <f t="shared" si="0"/>
        <v>1123.4578396347513</v>
      </c>
      <c r="H8">
        <f t="shared" si="1"/>
        <v>39.89854514199272</v>
      </c>
      <c r="I8">
        <f t="shared" si="2"/>
        <v>46.882364989929329</v>
      </c>
      <c r="J8">
        <f t="shared" si="3"/>
        <v>7.7854138431248934E-3</v>
      </c>
      <c r="K8" s="4">
        <f t="shared" si="4"/>
        <v>5.6430028573547841E-2</v>
      </c>
      <c r="L8">
        <f t="shared" si="5"/>
        <v>0.17373280862650112</v>
      </c>
      <c r="M8">
        <f t="shared" si="6"/>
        <v>0.8262671913735341</v>
      </c>
      <c r="N8">
        <f t="shared" ref="N8:N70" si="11">M8+L8</f>
        <v>1.0000000000000353</v>
      </c>
      <c r="O8" t="str">
        <f t="shared" si="7"/>
        <v>Q1991-3</v>
      </c>
      <c r="P8">
        <f t="shared" si="8"/>
        <v>9.8037473549561771E-3</v>
      </c>
      <c r="Q8">
        <f t="shared" si="9"/>
        <v>4.6626281218593649E-2</v>
      </c>
      <c r="R8">
        <f t="shared" si="10"/>
        <v>5.643002857354773E-2</v>
      </c>
      <c r="T8" t="s">
        <v>163</v>
      </c>
      <c r="U8" t="s">
        <v>16</v>
      </c>
      <c r="V8" t="s">
        <v>17</v>
      </c>
    </row>
    <row r="9" spans="1:23" x14ac:dyDescent="0.35">
      <c r="A9" s="1">
        <v>1991</v>
      </c>
      <c r="B9" s="1">
        <v>4</v>
      </c>
      <c r="C9" s="2">
        <v>54609.638877879603</v>
      </c>
      <c r="D9" s="2">
        <v>46066.749473504628</v>
      </c>
      <c r="E9" s="3">
        <v>86.968510704474397</v>
      </c>
      <c r="F9" s="2">
        <v>100676.388351384</v>
      </c>
      <c r="G9">
        <f t="shared" si="0"/>
        <v>1157.6188615381723</v>
      </c>
      <c r="H9">
        <f t="shared" si="1"/>
        <v>39.794401252493401</v>
      </c>
      <c r="I9">
        <f t="shared" si="2"/>
        <v>47.174109451981195</v>
      </c>
      <c r="J9">
        <f t="shared" si="3"/>
        <v>2.1617723560079377E-3</v>
      </c>
      <c r="K9" s="4">
        <f t="shared" si="4"/>
        <v>4.8082600375679463E-2</v>
      </c>
      <c r="L9">
        <f t="shared" si="5"/>
        <v>8.6734230058657144E-2</v>
      </c>
      <c r="M9">
        <f t="shared" si="6"/>
        <v>0.91326576994139275</v>
      </c>
      <c r="N9">
        <f t="shared" si="11"/>
        <v>1.00000000000005</v>
      </c>
      <c r="O9" t="str">
        <f t="shared" si="7"/>
        <v>Q1991-4</v>
      </c>
      <c r="P9">
        <f t="shared" si="8"/>
        <v>4.1704073228026571E-3</v>
      </c>
      <c r="Q9">
        <f t="shared" si="9"/>
        <v>4.3912193052879203E-2</v>
      </c>
      <c r="R9">
        <f t="shared" si="10"/>
        <v>4.8082600375679352E-2</v>
      </c>
      <c r="T9">
        <f>E113/E98-1</f>
        <v>-2.8052953027915883E-2</v>
      </c>
      <c r="U9">
        <f>(H113-H98)/(E113-E98)*T9</f>
        <v>5.9151593763411871E-2</v>
      </c>
      <c r="V9">
        <f>(I113-I98)/(E113-E98)*T9</f>
        <v>-8.7204546791335324E-2</v>
      </c>
      <c r="W9">
        <f>V9+U9</f>
        <v>-2.8052953027923454E-2</v>
      </c>
    </row>
    <row r="10" spans="1:23" x14ac:dyDescent="0.35">
      <c r="A10" s="1">
        <v>1992</v>
      </c>
      <c r="B10" s="1">
        <v>1</v>
      </c>
      <c r="C10" s="2">
        <v>59043.863763618901</v>
      </c>
      <c r="D10" s="2">
        <v>39898.320377166237</v>
      </c>
      <c r="E10" s="3">
        <v>87.9369744092063</v>
      </c>
      <c r="F10" s="2">
        <v>98942.184140785204</v>
      </c>
      <c r="G10">
        <f t="shared" si="0"/>
        <v>1125.1488330763714</v>
      </c>
      <c r="H10">
        <f t="shared" si="1"/>
        <v>35.46048238620719</v>
      </c>
      <c r="I10">
        <f t="shared" si="2"/>
        <v>52.476492022999061</v>
      </c>
      <c r="J10">
        <f t="shared" si="3"/>
        <v>1.1135797277509053E-2</v>
      </c>
      <c r="K10" s="4">
        <f t="shared" si="4"/>
        <v>3.3584065642462274E-2</v>
      </c>
      <c r="L10">
        <f t="shared" si="5"/>
        <v>0.56552183846178972</v>
      </c>
      <c r="M10">
        <f t="shared" si="6"/>
        <v>0.43447816153820784</v>
      </c>
      <c r="N10">
        <f t="shared" si="11"/>
        <v>0.99999999999999756</v>
      </c>
      <c r="O10" t="str">
        <f t="shared" si="7"/>
        <v>Q1992-1</v>
      </c>
      <c r="P10">
        <f t="shared" si="8"/>
        <v>1.8992522545146693E-2</v>
      </c>
      <c r="Q10">
        <f t="shared" si="9"/>
        <v>1.45915430973155E-2</v>
      </c>
      <c r="R10">
        <f t="shared" si="10"/>
        <v>3.3584065642462191E-2</v>
      </c>
    </row>
    <row r="11" spans="1:23" x14ac:dyDescent="0.35">
      <c r="A11" s="1">
        <v>1992</v>
      </c>
      <c r="B11" s="1">
        <v>2</v>
      </c>
      <c r="C11" s="2">
        <v>55660.638786838601</v>
      </c>
      <c r="D11" s="2">
        <v>44540.05104253882</v>
      </c>
      <c r="E11" s="3">
        <v>88.016727172623604</v>
      </c>
      <c r="F11" s="2">
        <v>100200.68982937701</v>
      </c>
      <c r="G11">
        <f t="shared" si="0"/>
        <v>1138.4278085330018</v>
      </c>
      <c r="H11">
        <f t="shared" si="1"/>
        <v>39.12417696466315</v>
      </c>
      <c r="I11">
        <f t="shared" si="2"/>
        <v>48.892550207960824</v>
      </c>
      <c r="J11">
        <f t="shared" si="3"/>
        <v>9.0693094631823224E-4</v>
      </c>
      <c r="K11" s="4">
        <f t="shared" si="4"/>
        <v>2.2136938687754557E-2</v>
      </c>
      <c r="L11">
        <f t="shared" si="5"/>
        <v>0.28034408931356508</v>
      </c>
      <c r="M11">
        <f t="shared" si="6"/>
        <v>0.71965591068667345</v>
      </c>
      <c r="N11">
        <f t="shared" si="11"/>
        <v>1.0000000000002385</v>
      </c>
      <c r="O11" t="str">
        <f t="shared" si="7"/>
        <v>Q1992-2</v>
      </c>
      <c r="P11">
        <f t="shared" si="8"/>
        <v>6.2059599166087772E-3</v>
      </c>
      <c r="Q11">
        <f t="shared" si="9"/>
        <v>1.5930978771151058E-2</v>
      </c>
      <c r="R11">
        <f t="shared" si="10"/>
        <v>2.213693868775457E-2</v>
      </c>
    </row>
    <row r="12" spans="1:23" x14ac:dyDescent="0.35">
      <c r="A12" s="1">
        <v>1992</v>
      </c>
      <c r="B12" s="1">
        <v>3</v>
      </c>
      <c r="C12" s="2">
        <v>54820.654710133203</v>
      </c>
      <c r="D12" s="2">
        <v>44133.365479006556</v>
      </c>
      <c r="E12" s="3">
        <v>88.049392416284604</v>
      </c>
      <c r="F12" s="2">
        <v>98954.020189139803</v>
      </c>
      <c r="G12">
        <f t="shared" si="0"/>
        <v>1123.846712323689</v>
      </c>
      <c r="H12">
        <f t="shared" si="1"/>
        <v>39.269915545471044</v>
      </c>
      <c r="I12">
        <f t="shared" si="2"/>
        <v>48.779476870813525</v>
      </c>
      <c r="J12">
        <f t="shared" si="3"/>
        <v>3.7112540661657898E-4</v>
      </c>
      <c r="K12" s="4">
        <f t="shared" si="4"/>
        <v>1.4617065924225646E-2</v>
      </c>
      <c r="L12">
        <f t="shared" si="5"/>
        <v>-0.49557617340911808</v>
      </c>
      <c r="M12">
        <f t="shared" si="6"/>
        <v>1.4955761734090509</v>
      </c>
      <c r="N12">
        <f t="shared" si="11"/>
        <v>0.99999999999993283</v>
      </c>
      <c r="O12" t="str">
        <f t="shared" si="7"/>
        <v>Q1992-3</v>
      </c>
      <c r="P12">
        <f t="shared" si="8"/>
        <v>-7.2438695971965596E-3</v>
      </c>
      <c r="Q12">
        <f t="shared" si="9"/>
        <v>2.1860935521421224E-2</v>
      </c>
      <c r="R12">
        <f t="shared" si="10"/>
        <v>1.4617065924225736E-2</v>
      </c>
    </row>
    <row r="13" spans="1:23" x14ac:dyDescent="0.35">
      <c r="A13" s="1">
        <v>1992</v>
      </c>
      <c r="B13" s="1">
        <v>4</v>
      </c>
      <c r="C13" s="2">
        <v>56219.140682755402</v>
      </c>
      <c r="D13" s="2">
        <v>45240.829408698082</v>
      </c>
      <c r="E13" s="3">
        <v>88.2820427315487</v>
      </c>
      <c r="F13" s="2">
        <v>101459.970091453</v>
      </c>
      <c r="G13">
        <f t="shared" si="0"/>
        <v>1149.2707571343385</v>
      </c>
      <c r="H13">
        <f t="shared" si="1"/>
        <v>39.364813842043901</v>
      </c>
      <c r="I13">
        <f t="shared" si="2"/>
        <v>48.917228889505218</v>
      </c>
      <c r="J13">
        <f t="shared" si="3"/>
        <v>2.6422705356575179E-3</v>
      </c>
      <c r="K13" s="4">
        <f t="shared" si="4"/>
        <v>1.5103535940011481E-2</v>
      </c>
      <c r="L13">
        <f t="shared" si="5"/>
        <v>-0.32704753412548465</v>
      </c>
      <c r="M13">
        <f t="shared" si="6"/>
        <v>1.3270475341256522</v>
      </c>
      <c r="N13">
        <f t="shared" si="11"/>
        <v>1.0000000000001676</v>
      </c>
      <c r="O13" t="str">
        <f t="shared" si="7"/>
        <v>Q1992-4</v>
      </c>
      <c r="P13">
        <f t="shared" si="8"/>
        <v>-4.939574185756389E-3</v>
      </c>
      <c r="Q13">
        <f t="shared" si="9"/>
        <v>2.00431101257704E-2</v>
      </c>
      <c r="R13">
        <f t="shared" si="10"/>
        <v>1.510353594001157E-2</v>
      </c>
    </row>
    <row r="14" spans="1:23" x14ac:dyDescent="0.35">
      <c r="A14" s="1">
        <v>1993</v>
      </c>
      <c r="B14" s="1">
        <v>1</v>
      </c>
      <c r="C14" s="2">
        <v>59736.427600759504</v>
      </c>
      <c r="D14" s="2">
        <v>39043.126803680505</v>
      </c>
      <c r="E14" s="3">
        <v>89.507181405883301</v>
      </c>
      <c r="F14" s="2">
        <v>98779.554404440103</v>
      </c>
      <c r="G14">
        <f t="shared" si="0"/>
        <v>1103.5936206784334</v>
      </c>
      <c r="H14">
        <f t="shared" si="1"/>
        <v>35.378173697378543</v>
      </c>
      <c r="I14">
        <f t="shared" si="2"/>
        <v>54.129007708504673</v>
      </c>
      <c r="J14">
        <f t="shared" si="3"/>
        <v>1.3877552403947524E-2</v>
      </c>
      <c r="K14" s="4">
        <f t="shared" si="4"/>
        <v>1.7856049826892987E-2</v>
      </c>
      <c r="L14">
        <f t="shared" si="5"/>
        <v>-5.2419005266716508E-2</v>
      </c>
      <c r="M14">
        <f t="shared" si="6"/>
        <v>1.052419005266694</v>
      </c>
      <c r="N14">
        <f t="shared" si="11"/>
        <v>0.99999999999997746</v>
      </c>
      <c r="O14" t="str">
        <f t="shared" si="7"/>
        <v>Q1993-1</v>
      </c>
      <c r="P14">
        <f t="shared" si="8"/>
        <v>-9.3599636991865585E-4</v>
      </c>
      <c r="Q14">
        <f t="shared" si="9"/>
        <v>1.8792046196811241E-2</v>
      </c>
      <c r="R14">
        <f t="shared" si="10"/>
        <v>1.7856049826892928E-2</v>
      </c>
    </row>
    <row r="15" spans="1:23" x14ac:dyDescent="0.35">
      <c r="A15" s="1">
        <v>1993</v>
      </c>
      <c r="B15" s="1">
        <v>2</v>
      </c>
      <c r="C15" s="2">
        <v>56385.511096497699</v>
      </c>
      <c r="D15" s="2">
        <v>45172.071051758685</v>
      </c>
      <c r="E15" s="3">
        <v>89.9902511862403</v>
      </c>
      <c r="F15" s="2">
        <v>101557.582148256</v>
      </c>
      <c r="G15">
        <f t="shared" si="0"/>
        <v>1128.5398230312348</v>
      </c>
      <c r="H15">
        <f t="shared" si="1"/>
        <v>40.027006694745985</v>
      </c>
      <c r="I15">
        <f t="shared" si="2"/>
        <v>49.963244491494656</v>
      </c>
      <c r="J15">
        <f t="shared" si="3"/>
        <v>5.3969946631036115E-3</v>
      </c>
      <c r="K15" s="4">
        <f t="shared" si="4"/>
        <v>2.2422147210110467E-2</v>
      </c>
      <c r="L15">
        <f t="shared" si="5"/>
        <v>0.45747086118719293</v>
      </c>
      <c r="M15">
        <f t="shared" si="6"/>
        <v>0.54252913881279263</v>
      </c>
      <c r="N15">
        <f t="shared" si="11"/>
        <v>0.99999999999998557</v>
      </c>
      <c r="O15" t="str">
        <f t="shared" si="7"/>
        <v>Q1993-2</v>
      </c>
      <c r="P15">
        <f t="shared" si="8"/>
        <v>1.0257478993875252E-2</v>
      </c>
      <c r="Q15">
        <f t="shared" si="9"/>
        <v>1.2164668216234893E-2</v>
      </c>
      <c r="R15">
        <f t="shared" si="10"/>
        <v>2.2422147210110488E-2</v>
      </c>
    </row>
    <row r="16" spans="1:23" x14ac:dyDescent="0.35">
      <c r="A16" s="1">
        <v>1993</v>
      </c>
      <c r="B16" s="1">
        <v>3</v>
      </c>
      <c r="C16" s="2">
        <v>55201.946310675397</v>
      </c>
      <c r="D16" s="2">
        <v>47000.953993099858</v>
      </c>
      <c r="E16" s="3">
        <v>90.386815762555898</v>
      </c>
      <c r="F16" s="2">
        <v>102202.90030377499</v>
      </c>
      <c r="G16">
        <f t="shared" si="0"/>
        <v>1130.7279655946691</v>
      </c>
      <c r="H16">
        <f t="shared" si="1"/>
        <v>41.566986422221596</v>
      </c>
      <c r="I16">
        <f t="shared" si="2"/>
        <v>48.819829340334529</v>
      </c>
      <c r="J16">
        <f t="shared" si="3"/>
        <v>4.4067504100514521E-3</v>
      </c>
      <c r="K16" s="4">
        <f t="shared" si="4"/>
        <v>2.6546728854417292E-2</v>
      </c>
      <c r="L16">
        <f t="shared" si="5"/>
        <v>0.98273634530727516</v>
      </c>
      <c r="M16">
        <f t="shared" si="6"/>
        <v>1.7263654692837263E-2</v>
      </c>
      <c r="N16">
        <f t="shared" si="11"/>
        <v>1.0000000000001124</v>
      </c>
      <c r="O16" t="str">
        <f t="shared" si="7"/>
        <v>Q1993-3</v>
      </c>
      <c r="P16">
        <f t="shared" si="8"/>
        <v>2.6088435294253236E-2</v>
      </c>
      <c r="Q16">
        <f t="shared" si="9"/>
        <v>4.5829356016703946E-4</v>
      </c>
      <c r="R16">
        <f t="shared" si="10"/>
        <v>2.6546728854417223E-2</v>
      </c>
    </row>
    <row r="17" spans="1:18" x14ac:dyDescent="0.35">
      <c r="A17" s="1">
        <v>1993</v>
      </c>
      <c r="B17" s="1">
        <v>4</v>
      </c>
      <c r="C17" s="2">
        <v>57150.1661497553</v>
      </c>
      <c r="D17" s="2">
        <v>48629.403200196961</v>
      </c>
      <c r="E17" s="3">
        <v>90.555612154312499</v>
      </c>
      <c r="F17" s="2">
        <v>105779.569349952</v>
      </c>
      <c r="G17">
        <f t="shared" si="0"/>
        <v>1168.1172136487455</v>
      </c>
      <c r="H17">
        <f t="shared" si="1"/>
        <v>41.630585211819238</v>
      </c>
      <c r="I17">
        <f t="shared" si="2"/>
        <v>48.925026942493488</v>
      </c>
      <c r="J17">
        <f t="shared" si="3"/>
        <v>1.867489083806483E-3</v>
      </c>
      <c r="K17" s="4">
        <f t="shared" si="4"/>
        <v>2.5753475479462492E-2</v>
      </c>
      <c r="L17">
        <f t="shared" si="5"/>
        <v>0.99657012761062591</v>
      </c>
      <c r="M17">
        <f t="shared" si="6"/>
        <v>3.4298723892896904E-3</v>
      </c>
      <c r="N17">
        <f t="shared" si="11"/>
        <v>0.99999999999991562</v>
      </c>
      <c r="O17" t="str">
        <f t="shared" si="7"/>
        <v>Q1993-4</v>
      </c>
      <c r="P17">
        <f t="shared" si="8"/>
        <v>2.5665144344985062E-2</v>
      </c>
      <c r="Q17">
        <f t="shared" si="9"/>
        <v>8.8331134475257473E-5</v>
      </c>
      <c r="R17">
        <f t="shared" si="10"/>
        <v>2.5753475479462384E-2</v>
      </c>
    </row>
    <row r="18" spans="1:18" x14ac:dyDescent="0.35">
      <c r="A18" s="1">
        <v>1994</v>
      </c>
      <c r="B18" s="1">
        <v>1</v>
      </c>
      <c r="C18" s="2">
        <v>60025.644279147898</v>
      </c>
      <c r="D18" s="2">
        <v>43588.351859055489</v>
      </c>
      <c r="E18" s="3">
        <v>91.426012713355107</v>
      </c>
      <c r="F18" s="2">
        <v>103613.996138203</v>
      </c>
      <c r="G18">
        <f t="shared" si="0"/>
        <v>1133.3097995103481</v>
      </c>
      <c r="H18">
        <f t="shared" si="1"/>
        <v>38.461109114108112</v>
      </c>
      <c r="I18">
        <f t="shared" si="2"/>
        <v>52.964903599247329</v>
      </c>
      <c r="J18">
        <f t="shared" si="3"/>
        <v>9.6117793070559787E-3</v>
      </c>
      <c r="K18" s="4">
        <f t="shared" si="4"/>
        <v>2.1437735803237802E-2</v>
      </c>
      <c r="L18">
        <f t="shared" si="5"/>
        <v>1.6066735021076723</v>
      </c>
      <c r="M18">
        <f t="shared" si="6"/>
        <v>-0.60667350210745374</v>
      </c>
      <c r="N18">
        <f t="shared" si="11"/>
        <v>1.0000000000002185</v>
      </c>
      <c r="O18" t="str">
        <f t="shared" si="7"/>
        <v>Q1994-1</v>
      </c>
      <c r="P18">
        <f t="shared" si="8"/>
        <v>3.4443442060247111E-2</v>
      </c>
      <c r="Q18">
        <f t="shared" si="9"/>
        <v>-1.3005706257004625E-2</v>
      </c>
      <c r="R18">
        <f t="shared" si="10"/>
        <v>2.1437735803237823E-2</v>
      </c>
    </row>
    <row r="19" spans="1:18" x14ac:dyDescent="0.35">
      <c r="A19" s="1">
        <v>1994</v>
      </c>
      <c r="B19" s="1">
        <v>2</v>
      </c>
      <c r="C19" s="2">
        <v>56937.897695215499</v>
      </c>
      <c r="D19" s="2">
        <v>46594.307048421586</v>
      </c>
      <c r="E19" s="3">
        <v>91.343799310653196</v>
      </c>
      <c r="F19" s="2">
        <v>103532.204743637</v>
      </c>
      <c r="G19">
        <f t="shared" si="0"/>
        <v>1133.4344041409092</v>
      </c>
      <c r="H19">
        <f t="shared" si="1"/>
        <v>41.108957764289777</v>
      </c>
      <c r="I19">
        <f t="shared" si="2"/>
        <v>50.234841546363498</v>
      </c>
      <c r="J19">
        <f t="shared" si="3"/>
        <v>-8.9923425797503896E-4</v>
      </c>
      <c r="K19" s="4">
        <f t="shared" si="4"/>
        <v>1.5041052853732409E-2</v>
      </c>
      <c r="L19">
        <f t="shared" si="5"/>
        <v>0.79934436761388861</v>
      </c>
      <c r="M19">
        <f t="shared" si="6"/>
        <v>0.20065563238591722</v>
      </c>
      <c r="N19">
        <f t="shared" si="11"/>
        <v>0.99999999999980582</v>
      </c>
      <c r="O19" t="str">
        <f t="shared" si="7"/>
        <v>Q1994-2</v>
      </c>
      <c r="P19">
        <f t="shared" si="8"/>
        <v>1.2022980881613807E-2</v>
      </c>
      <c r="Q19">
        <f t="shared" si="9"/>
        <v>3.0180719721156811E-3</v>
      </c>
      <c r="R19">
        <f t="shared" si="10"/>
        <v>1.5041052853732362E-2</v>
      </c>
    </row>
    <row r="20" spans="1:18" x14ac:dyDescent="0.35">
      <c r="A20" s="1">
        <v>1994</v>
      </c>
      <c r="B20" s="1">
        <v>3</v>
      </c>
      <c r="C20" s="2">
        <v>55652.156141453197</v>
      </c>
      <c r="D20" s="2">
        <v>48405.504772405999</v>
      </c>
      <c r="E20" s="3">
        <v>91.114748728885004</v>
      </c>
      <c r="F20" s="2">
        <v>104057.660913859</v>
      </c>
      <c r="G20">
        <f t="shared" si="0"/>
        <v>1142.0506818658532</v>
      </c>
      <c r="H20">
        <f t="shared" si="1"/>
        <v>42.38472560020044</v>
      </c>
      <c r="I20">
        <f t="shared" si="2"/>
        <v>48.730023128684735</v>
      </c>
      <c r="J20">
        <f t="shared" si="3"/>
        <v>-2.5075657406060867E-3</v>
      </c>
      <c r="K20" s="4">
        <f t="shared" si="4"/>
        <v>8.053530375949627E-3</v>
      </c>
      <c r="L20">
        <f t="shared" si="5"/>
        <v>1.1233715407925828</v>
      </c>
      <c r="M20">
        <f t="shared" si="6"/>
        <v>-0.12337154079266083</v>
      </c>
      <c r="N20">
        <f t="shared" si="11"/>
        <v>0.99999999999992206</v>
      </c>
      <c r="O20" t="str">
        <f t="shared" si="7"/>
        <v>Q1994-3</v>
      </c>
      <c r="P20">
        <f t="shared" si="8"/>
        <v>9.0471068272504011E-3</v>
      </c>
      <c r="Q20">
        <f t="shared" si="9"/>
        <v>-9.9357645130140242E-4</v>
      </c>
      <c r="R20">
        <f t="shared" si="10"/>
        <v>8.0535303759496912E-3</v>
      </c>
    </row>
    <row r="21" spans="1:18" x14ac:dyDescent="0.35">
      <c r="A21" s="1">
        <v>1994</v>
      </c>
      <c r="B21" s="1">
        <v>4</v>
      </c>
      <c r="C21" s="2">
        <v>57210.964694989503</v>
      </c>
      <c r="D21" s="2">
        <v>49986.940620197813</v>
      </c>
      <c r="E21" s="3">
        <v>90.867537866475303</v>
      </c>
      <c r="F21" s="2">
        <v>107197.905315187</v>
      </c>
      <c r="G21">
        <f t="shared" si="0"/>
        <v>1179.7161872340841</v>
      </c>
      <c r="H21">
        <f t="shared" si="1"/>
        <v>42.372005369694229</v>
      </c>
      <c r="I21">
        <f t="shared" si="2"/>
        <v>48.495532496781337</v>
      </c>
      <c r="J21">
        <f t="shared" si="3"/>
        <v>-2.7131816293022551E-3</v>
      </c>
      <c r="K21" s="4">
        <f t="shared" si="4"/>
        <v>3.4445762636032174E-3</v>
      </c>
      <c r="L21">
        <f t="shared" si="5"/>
        <v>2.3769126076019682</v>
      </c>
      <c r="M21">
        <f t="shared" si="6"/>
        <v>-1.3769126076018543</v>
      </c>
      <c r="N21">
        <f t="shared" si="11"/>
        <v>1.0000000000001139</v>
      </c>
      <c r="O21" t="str">
        <f t="shared" si="7"/>
        <v>Q1994-4</v>
      </c>
      <c r="P21">
        <f t="shared" si="8"/>
        <v>8.1874567488049686E-3</v>
      </c>
      <c r="Q21">
        <f t="shared" si="9"/>
        <v>-4.7428804852013579E-3</v>
      </c>
      <c r="R21">
        <f t="shared" si="10"/>
        <v>3.4445762636032828E-3</v>
      </c>
    </row>
    <row r="22" spans="1:18" x14ac:dyDescent="0.35">
      <c r="A22" s="1">
        <v>1995</v>
      </c>
      <c r="B22" s="1">
        <v>1</v>
      </c>
      <c r="C22" s="2">
        <v>61001.179103567403</v>
      </c>
      <c r="D22" s="2">
        <v>42646.307372770316</v>
      </c>
      <c r="E22" s="3">
        <v>91.645975682007602</v>
      </c>
      <c r="F22" s="2">
        <v>103647.486476338</v>
      </c>
      <c r="G22">
        <f t="shared" si="0"/>
        <v>1130.9551314721459</v>
      </c>
      <c r="H22">
        <f t="shared" si="1"/>
        <v>37.708222179652971</v>
      </c>
      <c r="I22">
        <f t="shared" si="2"/>
        <v>53.937753502354383</v>
      </c>
      <c r="J22">
        <f t="shared" si="3"/>
        <v>8.5667316822886745E-3</v>
      </c>
      <c r="K22" s="4">
        <f t="shared" si="4"/>
        <v>2.4059123013724579E-3</v>
      </c>
      <c r="L22">
        <f t="shared" si="5"/>
        <v>-3.4227894770986422</v>
      </c>
      <c r="M22">
        <f t="shared" si="6"/>
        <v>4.4227894770959937</v>
      </c>
      <c r="N22">
        <f t="shared" si="11"/>
        <v>0.99999999999735145</v>
      </c>
      <c r="O22" t="str">
        <f t="shared" si="7"/>
        <v>Q1995-1</v>
      </c>
      <c r="P22">
        <f t="shared" si="8"/>
        <v>-8.2349313079598252E-3</v>
      </c>
      <c r="Q22">
        <f t="shared" si="9"/>
        <v>1.0640843609325911E-2</v>
      </c>
      <c r="R22">
        <f t="shared" si="10"/>
        <v>2.4059123013724371E-3</v>
      </c>
    </row>
    <row r="23" spans="1:18" x14ac:dyDescent="0.35">
      <c r="A23" s="1">
        <v>1995</v>
      </c>
      <c r="B23" s="1">
        <v>2</v>
      </c>
      <c r="C23" s="2">
        <v>57192.525635123697</v>
      </c>
      <c r="D23" s="2">
        <v>48018.014997477927</v>
      </c>
      <c r="E23" s="3">
        <v>91.721504446399507</v>
      </c>
      <c r="F23" s="2">
        <v>105210.540632602</v>
      </c>
      <c r="G23">
        <f t="shared" si="0"/>
        <v>1147.0651432029799</v>
      </c>
      <c r="H23">
        <f t="shared" si="1"/>
        <v>41.861628593643751</v>
      </c>
      <c r="I23">
        <f t="shared" si="2"/>
        <v>49.859875852755422</v>
      </c>
      <c r="J23">
        <f t="shared" si="3"/>
        <v>8.241361808834219E-4</v>
      </c>
      <c r="K23" s="4">
        <f t="shared" si="4"/>
        <v>4.1349838587484726E-3</v>
      </c>
      <c r="L23">
        <f t="shared" si="5"/>
        <v>1.9927471408795259</v>
      </c>
      <c r="M23">
        <f t="shared" si="6"/>
        <v>-0.99274714088061711</v>
      </c>
      <c r="N23">
        <f t="shared" si="11"/>
        <v>0.99999999999890876</v>
      </c>
      <c r="O23" t="str">
        <f t="shared" si="7"/>
        <v>Q1995-2</v>
      </c>
      <c r="P23">
        <f t="shared" si="8"/>
        <v>8.2399772621040077E-3</v>
      </c>
      <c r="Q23">
        <f t="shared" si="9"/>
        <v>-4.104993403360048E-3</v>
      </c>
      <c r="R23">
        <f t="shared" si="10"/>
        <v>4.1349838587485532E-3</v>
      </c>
    </row>
    <row r="24" spans="1:18" x14ac:dyDescent="0.35">
      <c r="A24" s="1">
        <v>1995</v>
      </c>
      <c r="B24" s="1">
        <v>3</v>
      </c>
      <c r="C24" s="2">
        <v>56385.662415130901</v>
      </c>
      <c r="D24" s="2">
        <v>49539.871427125814</v>
      </c>
      <c r="E24" s="3">
        <v>92.179049917191605</v>
      </c>
      <c r="F24" s="2">
        <v>105925.53384225701</v>
      </c>
      <c r="G24">
        <f t="shared" si="0"/>
        <v>1149.128071263638</v>
      </c>
      <c r="H24">
        <f t="shared" si="1"/>
        <v>43.110835655288902</v>
      </c>
      <c r="I24">
        <f t="shared" si="2"/>
        <v>49.068214261902455</v>
      </c>
      <c r="J24">
        <f t="shared" si="3"/>
        <v>4.9884209112540248E-3</v>
      </c>
      <c r="K24" s="4">
        <f t="shared" si="4"/>
        <v>1.1680888145490747E-2</v>
      </c>
      <c r="L24">
        <f t="shared" si="5"/>
        <v>0.6822411391307085</v>
      </c>
      <c r="M24">
        <f t="shared" si="6"/>
        <v>0.31775886086889765</v>
      </c>
      <c r="N24">
        <f t="shared" si="11"/>
        <v>0.99999999999960609</v>
      </c>
      <c r="O24" t="str">
        <f t="shared" si="7"/>
        <v>Q1995-3</v>
      </c>
      <c r="P24">
        <f t="shared" si="8"/>
        <v>7.969182434437996E-3</v>
      </c>
      <c r="Q24">
        <f t="shared" si="9"/>
        <v>3.7117057110481501E-3</v>
      </c>
      <c r="R24">
        <f t="shared" si="10"/>
        <v>1.1680888145490842E-2</v>
      </c>
    </row>
    <row r="25" spans="1:18" x14ac:dyDescent="0.35">
      <c r="A25" s="1">
        <v>1995</v>
      </c>
      <c r="B25" s="1">
        <v>4</v>
      </c>
      <c r="C25" s="2">
        <v>60683.753160339897</v>
      </c>
      <c r="D25" s="2">
        <v>48048.04138639765</v>
      </c>
      <c r="E25" s="3">
        <v>91.878724752394007</v>
      </c>
      <c r="F25" s="2">
        <v>108731.79454673801</v>
      </c>
      <c r="G25">
        <f t="shared" si="0"/>
        <v>1183.4273368482388</v>
      </c>
      <c r="H25">
        <f t="shared" si="1"/>
        <v>40.60075332919174</v>
      </c>
      <c r="I25">
        <f t="shared" si="2"/>
        <v>51.277971423201883</v>
      </c>
      <c r="J25">
        <f t="shared" si="3"/>
        <v>-3.258063139806644E-3</v>
      </c>
      <c r="K25" s="4">
        <f t="shared" si="4"/>
        <v>1.1128142234959485E-2</v>
      </c>
      <c r="L25">
        <f t="shared" si="5"/>
        <v>-1.7516564595210657</v>
      </c>
      <c r="M25">
        <f t="shared" si="6"/>
        <v>2.7516564595204263</v>
      </c>
      <c r="N25">
        <f t="shared" si="11"/>
        <v>0.99999999999936051</v>
      </c>
      <c r="O25" t="str">
        <f t="shared" si="7"/>
        <v>Q1995-4</v>
      </c>
      <c r="P25">
        <f t="shared" si="8"/>
        <v>-1.9492682228335972E-2</v>
      </c>
      <c r="Q25">
        <f t="shared" si="9"/>
        <v>3.062082446328834E-2</v>
      </c>
      <c r="R25">
        <f t="shared" si="10"/>
        <v>1.1128142234959393E-2</v>
      </c>
    </row>
    <row r="26" spans="1:18" x14ac:dyDescent="0.35">
      <c r="A26" s="1">
        <v>1996</v>
      </c>
      <c r="B26" s="1">
        <v>1</v>
      </c>
      <c r="C26" s="2">
        <v>60945.035971478901</v>
      </c>
      <c r="D26" s="2">
        <v>44685.613087096914</v>
      </c>
      <c r="E26" s="3">
        <v>92.211597660288206</v>
      </c>
      <c r="F26" s="2">
        <v>105630.649058576</v>
      </c>
      <c r="G26">
        <f t="shared" si="0"/>
        <v>1145.5245515615532</v>
      </c>
      <c r="H26">
        <f t="shared" si="1"/>
        <v>39.008865437395031</v>
      </c>
      <c r="I26">
        <f t="shared" si="2"/>
        <v>53.202732222893005</v>
      </c>
      <c r="J26">
        <f t="shared" si="3"/>
        <v>3.6229596001823654E-3</v>
      </c>
      <c r="K26" s="4">
        <f t="shared" si="4"/>
        <v>6.1718146822201279E-3</v>
      </c>
      <c r="L26">
        <f t="shared" si="5"/>
        <v>2.2994920771922596</v>
      </c>
      <c r="M26">
        <f t="shared" si="6"/>
        <v>-1.2994920771921215</v>
      </c>
      <c r="N26">
        <f t="shared" si="11"/>
        <v>1.0000000000001381</v>
      </c>
      <c r="O26" t="str">
        <f t="shared" si="7"/>
        <v>Q1996-1</v>
      </c>
      <c r="P26">
        <f t="shared" si="8"/>
        <v>1.4192038963664047E-2</v>
      </c>
      <c r="Q26">
        <f t="shared" si="9"/>
        <v>-8.0202242814430662E-3</v>
      </c>
      <c r="R26">
        <f t="shared" si="10"/>
        <v>6.1718146822200559E-3</v>
      </c>
    </row>
    <row r="27" spans="1:18" x14ac:dyDescent="0.35">
      <c r="A27" s="1">
        <v>1996</v>
      </c>
      <c r="B27" s="1">
        <v>2</v>
      </c>
      <c r="C27" s="2">
        <v>57478.167967924099</v>
      </c>
      <c r="D27" s="2">
        <v>49320.483436541632</v>
      </c>
      <c r="E27" s="3">
        <v>92.564149258718103</v>
      </c>
      <c r="F27" s="2">
        <v>106798.651404466</v>
      </c>
      <c r="G27">
        <f t="shared" si="0"/>
        <v>1153.7798625033788</v>
      </c>
      <c r="H27">
        <f t="shared" si="1"/>
        <v>42.746874893040697</v>
      </c>
      <c r="I27">
        <f t="shared" si="2"/>
        <v>49.817274365677164</v>
      </c>
      <c r="J27">
        <f t="shared" si="3"/>
        <v>3.8232891238769566E-3</v>
      </c>
      <c r="K27" s="4">
        <f t="shared" si="4"/>
        <v>9.1869929239006727E-3</v>
      </c>
      <c r="L27">
        <f t="shared" si="5"/>
        <v>1.0505568733772055</v>
      </c>
      <c r="M27">
        <f t="shared" si="6"/>
        <v>-5.0556873377095954E-2</v>
      </c>
      <c r="N27">
        <f t="shared" si="11"/>
        <v>1.0000000000001095</v>
      </c>
      <c r="O27" t="str">
        <f t="shared" si="7"/>
        <v>Q1996-2</v>
      </c>
      <c r="P27">
        <f t="shared" si="8"/>
        <v>9.6514585618716012E-3</v>
      </c>
      <c r="Q27">
        <f t="shared" si="9"/>
        <v>-4.6446563796992283E-4</v>
      </c>
      <c r="R27">
        <f t="shared" si="10"/>
        <v>9.1869929239005721E-3</v>
      </c>
    </row>
    <row r="28" spans="1:18" x14ac:dyDescent="0.35">
      <c r="A28" s="1">
        <v>1996</v>
      </c>
      <c r="B28" s="1">
        <v>3</v>
      </c>
      <c r="C28" s="2">
        <v>56455.635533833301</v>
      </c>
      <c r="D28" s="2">
        <v>49106.543208485993</v>
      </c>
      <c r="E28" s="3">
        <v>92.010609094357093</v>
      </c>
      <c r="F28" s="2">
        <v>105562.178742319</v>
      </c>
      <c r="G28">
        <f t="shared" si="0"/>
        <v>1147.2826860005321</v>
      </c>
      <c r="H28">
        <f t="shared" si="1"/>
        <v>42.802479116697157</v>
      </c>
      <c r="I28">
        <f t="shared" si="2"/>
        <v>49.208129977660207</v>
      </c>
      <c r="J28">
        <f t="shared" si="3"/>
        <v>-5.9800707811169685E-3</v>
      </c>
      <c r="K28" s="4">
        <f t="shared" si="4"/>
        <v>-1.8273221842254788E-3</v>
      </c>
      <c r="L28">
        <f t="shared" si="5"/>
        <v>1.8306520557353025</v>
      </c>
      <c r="M28">
        <f t="shared" si="6"/>
        <v>-0.83065205573838186</v>
      </c>
      <c r="N28">
        <f t="shared" si="11"/>
        <v>0.99999999999692069</v>
      </c>
      <c r="O28" t="str">
        <f t="shared" si="7"/>
        <v>Q1996-3</v>
      </c>
      <c r="P28">
        <f t="shared" si="8"/>
        <v>-3.3451911130430961E-3</v>
      </c>
      <c r="Q28">
        <f t="shared" si="9"/>
        <v>1.5178689288232441E-3</v>
      </c>
      <c r="R28">
        <f t="shared" si="10"/>
        <v>-1.8273221842254328E-3</v>
      </c>
    </row>
    <row r="29" spans="1:18" x14ac:dyDescent="0.35">
      <c r="A29" s="1">
        <v>1996</v>
      </c>
      <c r="B29" s="1">
        <v>4</v>
      </c>
      <c r="C29" s="2">
        <v>60952.218586899697</v>
      </c>
      <c r="D29" s="2">
        <v>47938.130209537572</v>
      </c>
      <c r="E29" s="3">
        <v>91.518684126172602</v>
      </c>
      <c r="F29" s="2">
        <v>108890.348796437</v>
      </c>
      <c r="G29">
        <f t="shared" si="0"/>
        <v>1189.8154987271766</v>
      </c>
      <c r="H29">
        <f t="shared" si="1"/>
        <v>40.290389779608788</v>
      </c>
      <c r="I29">
        <f t="shared" si="2"/>
        <v>51.228294346564041</v>
      </c>
      <c r="J29">
        <f t="shared" si="3"/>
        <v>-5.3463939976750021E-3</v>
      </c>
      <c r="K29" s="4">
        <f t="shared" si="4"/>
        <v>-3.9186506690388496E-3</v>
      </c>
      <c r="L29">
        <f t="shared" si="5"/>
        <v>0.86202369116005195</v>
      </c>
      <c r="M29">
        <f t="shared" si="6"/>
        <v>0.13797630883825085</v>
      </c>
      <c r="N29">
        <f t="shared" si="11"/>
        <v>0.9999999999983028</v>
      </c>
      <c r="O29" t="str">
        <f t="shared" si="7"/>
        <v>Q1996-4</v>
      </c>
      <c r="P29">
        <f t="shared" si="8"/>
        <v>-3.3779697140916762E-3</v>
      </c>
      <c r="Q29">
        <f t="shared" si="9"/>
        <v>-5.4068095494052258E-4</v>
      </c>
      <c r="R29">
        <f t="shared" si="10"/>
        <v>-3.9186506690388478E-3</v>
      </c>
    </row>
    <row r="30" spans="1:18" x14ac:dyDescent="0.35">
      <c r="A30" s="1">
        <v>1997</v>
      </c>
      <c r="B30" s="1">
        <v>1</v>
      </c>
      <c r="C30" s="2">
        <v>60344.227562414999</v>
      </c>
      <c r="D30" s="2">
        <v>44779.00500387331</v>
      </c>
      <c r="E30" s="3">
        <v>91.948837826646994</v>
      </c>
      <c r="F30" s="2">
        <v>105123.232566288</v>
      </c>
      <c r="G30">
        <f t="shared" si="0"/>
        <v>1143.2796221359422</v>
      </c>
      <c r="H30">
        <f t="shared" si="1"/>
        <v>39.167150482586699</v>
      </c>
      <c r="I30">
        <f t="shared" si="2"/>
        <v>52.781687344060558</v>
      </c>
      <c r="J30">
        <f t="shared" si="3"/>
        <v>4.700173572003712E-3</v>
      </c>
      <c r="K30" s="4">
        <f t="shared" si="4"/>
        <v>-2.8495312987551892E-3</v>
      </c>
      <c r="L30">
        <f t="shared" si="5"/>
        <v>-0.60239437283173303</v>
      </c>
      <c r="M30">
        <f t="shared" si="6"/>
        <v>1.6023943728300836</v>
      </c>
      <c r="N30">
        <f t="shared" si="11"/>
        <v>0.99999999999835054</v>
      </c>
      <c r="O30" t="str">
        <f t="shared" si="7"/>
        <v>Q1997-1</v>
      </c>
      <c r="P30">
        <f t="shared" si="8"/>
        <v>1.7165416195780259E-3</v>
      </c>
      <c r="Q30">
        <f t="shared" si="9"/>
        <v>-4.5660729183285148E-3</v>
      </c>
      <c r="R30">
        <f t="shared" si="10"/>
        <v>-2.8495312987552035E-3</v>
      </c>
    </row>
    <row r="31" spans="1:18" x14ac:dyDescent="0.35">
      <c r="A31" s="1">
        <v>1997</v>
      </c>
      <c r="B31" s="1">
        <v>2</v>
      </c>
      <c r="C31" s="2">
        <v>59965.269685063402</v>
      </c>
      <c r="D31" s="2">
        <v>47836.50814674532</v>
      </c>
      <c r="E31" s="3">
        <v>91.741059013341996</v>
      </c>
      <c r="F31" s="2">
        <v>107801.777831809</v>
      </c>
      <c r="G31">
        <f t="shared" si="0"/>
        <v>1175.0657665302433</v>
      </c>
      <c r="H31">
        <f t="shared" si="1"/>
        <v>40.709643246605573</v>
      </c>
      <c r="I31">
        <f t="shared" si="2"/>
        <v>51.031415766736188</v>
      </c>
      <c r="J31">
        <f t="shared" si="3"/>
        <v>-2.2597220173323717E-3</v>
      </c>
      <c r="K31" s="4">
        <f t="shared" si="4"/>
        <v>-8.8921061984328156E-3</v>
      </c>
      <c r="L31">
        <f t="shared" si="5"/>
        <v>2.4751011907621625</v>
      </c>
      <c r="M31">
        <f t="shared" si="6"/>
        <v>-1.4751011907621712</v>
      </c>
      <c r="N31">
        <f t="shared" si="11"/>
        <v>0.99999999999999134</v>
      </c>
      <c r="O31" t="str">
        <f t="shared" si="7"/>
        <v>Q1997-2</v>
      </c>
      <c r="P31">
        <f t="shared" si="8"/>
        <v>-2.2008862640124669E-2</v>
      </c>
      <c r="Q31">
        <f t="shared" si="9"/>
        <v>1.311675644169193E-2</v>
      </c>
      <c r="R31">
        <f t="shared" si="10"/>
        <v>-8.8921061984328365E-3</v>
      </c>
    </row>
    <row r="32" spans="1:18" x14ac:dyDescent="0.35">
      <c r="A32" s="1">
        <v>1997</v>
      </c>
      <c r="B32" s="1">
        <v>3</v>
      </c>
      <c r="C32" s="2">
        <v>58129.7936951101</v>
      </c>
      <c r="D32" s="2">
        <v>50344.534816395273</v>
      </c>
      <c r="E32" s="3">
        <v>91.700942012399096</v>
      </c>
      <c r="F32" s="2">
        <v>108474.32851150499</v>
      </c>
      <c r="G32">
        <f t="shared" si="0"/>
        <v>1182.9140042731287</v>
      </c>
      <c r="H32">
        <f t="shared" si="1"/>
        <v>42.559758895855445</v>
      </c>
      <c r="I32">
        <f t="shared" si="2"/>
        <v>49.141183116543971</v>
      </c>
      <c r="J32">
        <f t="shared" si="3"/>
        <v>-4.3728513028245332E-4</v>
      </c>
      <c r="K32" s="4">
        <f t="shared" si="4"/>
        <v>-3.3655584394668299E-3</v>
      </c>
      <c r="L32">
        <f t="shared" si="5"/>
        <v>0.78381021097564973</v>
      </c>
      <c r="M32">
        <f t="shared" si="6"/>
        <v>0.2161897890241897</v>
      </c>
      <c r="N32">
        <f t="shared" si="11"/>
        <v>0.99999999999983946</v>
      </c>
      <c r="O32" t="str">
        <f t="shared" si="7"/>
        <v>Q1997-3</v>
      </c>
      <c r="P32">
        <f t="shared" si="8"/>
        <v>-2.6379590704893744E-3</v>
      </c>
      <c r="Q32">
        <f t="shared" si="9"/>
        <v>-7.275993689769151E-4</v>
      </c>
      <c r="R32">
        <f t="shared" si="10"/>
        <v>-3.3655584394668425E-3</v>
      </c>
    </row>
    <row r="33" spans="1:18" x14ac:dyDescent="0.35">
      <c r="A33" s="1">
        <v>1997</v>
      </c>
      <c r="B33" s="1">
        <v>4</v>
      </c>
      <c r="C33" s="2">
        <v>60178.4819843695</v>
      </c>
      <c r="D33" s="2">
        <v>52169.671175261501</v>
      </c>
      <c r="E33" s="3">
        <v>91.162294167463699</v>
      </c>
      <c r="F33" s="2">
        <v>112348.15315963099</v>
      </c>
      <c r="G33">
        <f t="shared" si="0"/>
        <v>1232.3971679919464</v>
      </c>
      <c r="H33">
        <f t="shared" si="1"/>
        <v>42.331865513993478</v>
      </c>
      <c r="I33">
        <f t="shared" si="2"/>
        <v>48.830428653470229</v>
      </c>
      <c r="J33">
        <f t="shared" si="3"/>
        <v>-5.8739619584558412E-3</v>
      </c>
      <c r="K33" s="4">
        <f t="shared" si="4"/>
        <v>-3.8941770427726443E-3</v>
      </c>
      <c r="L33">
        <f t="shared" si="5"/>
        <v>-5.7282077805456826</v>
      </c>
      <c r="M33">
        <f t="shared" si="6"/>
        <v>6.7282077805463008</v>
      </c>
      <c r="N33">
        <f t="shared" si="11"/>
        <v>1.0000000000006182</v>
      </c>
      <c r="O33" t="str">
        <f t="shared" si="7"/>
        <v>Q1997-4</v>
      </c>
      <c r="P33">
        <f t="shared" si="8"/>
        <v>2.2306655235232637E-2</v>
      </c>
      <c r="Q33">
        <f t="shared" si="9"/>
        <v>-2.620083227800769E-2</v>
      </c>
      <c r="R33">
        <f t="shared" si="10"/>
        <v>-3.8941770427726174E-3</v>
      </c>
    </row>
    <row r="34" spans="1:18" x14ac:dyDescent="0.35">
      <c r="A34" s="1">
        <v>1998</v>
      </c>
      <c r="B34" s="1">
        <v>1</v>
      </c>
      <c r="C34" s="2">
        <v>62943.236175273698</v>
      </c>
      <c r="D34" s="2">
        <v>46209.044408114794</v>
      </c>
      <c r="E34" s="3">
        <v>91.813927804664502</v>
      </c>
      <c r="F34" s="2">
        <v>109152.280583389</v>
      </c>
      <c r="G34">
        <f t="shared" ref="G34:G65" si="12">F34/(E34)</f>
        <v>1188.8422943369997</v>
      </c>
      <c r="H34">
        <f t="shared" ref="H34:H65" si="13">D34/G34</f>
        <v>38.868943869367399</v>
      </c>
      <c r="I34">
        <f t="shared" ref="I34:I65" si="14">C34/G34</f>
        <v>52.944983935296683</v>
      </c>
      <c r="J34">
        <f t="shared" si="3"/>
        <v>7.1480609735836836E-3</v>
      </c>
      <c r="K34" s="4">
        <f t="shared" si="4"/>
        <v>-1.4672292241130933E-3</v>
      </c>
      <c r="L34">
        <f t="shared" si="5"/>
        <v>2.2104111231854948</v>
      </c>
      <c r="M34">
        <f t="shared" si="6"/>
        <v>-1.2104111231804389</v>
      </c>
      <c r="N34">
        <f t="shared" si="11"/>
        <v>1.000000000005056</v>
      </c>
      <c r="O34" t="str">
        <f t="shared" si="7"/>
        <v>Q1998-1</v>
      </c>
      <c r="P34">
        <f t="shared" si="8"/>
        <v>-3.2431797972424046E-3</v>
      </c>
      <c r="Q34">
        <f t="shared" si="9"/>
        <v>1.7759505731218931E-3</v>
      </c>
      <c r="R34">
        <f t="shared" si="10"/>
        <v>-1.4672292241131313E-3</v>
      </c>
    </row>
    <row r="35" spans="1:18" x14ac:dyDescent="0.35">
      <c r="A35" s="1">
        <v>1998</v>
      </c>
      <c r="B35" s="1">
        <v>2</v>
      </c>
      <c r="C35" s="2">
        <v>60644.193662259699</v>
      </c>
      <c r="D35" s="2">
        <v>50966.735121695965</v>
      </c>
      <c r="E35" s="3">
        <v>91.648920942162604</v>
      </c>
      <c r="F35" s="2">
        <v>111610.928783956</v>
      </c>
      <c r="G35">
        <f t="shared" si="12"/>
        <v>1217.8095239592719</v>
      </c>
      <c r="H35">
        <f t="shared" si="13"/>
        <v>41.851154978650406</v>
      </c>
      <c r="I35">
        <f t="shared" si="14"/>
        <v>49.797765963511928</v>
      </c>
      <c r="J35">
        <f t="shared" ref="J35:J66" si="15">(E35-E34)/E34</f>
        <v>-1.7971877083066525E-3</v>
      </c>
      <c r="K35" s="4">
        <f t="shared" si="4"/>
        <v>-1.0043275297922146E-3</v>
      </c>
      <c r="L35">
        <f t="shared" si="5"/>
        <v>-12.389142918157312</v>
      </c>
      <c r="M35">
        <f t="shared" si="6"/>
        <v>13.389142918157699</v>
      </c>
      <c r="N35">
        <f t="shared" si="11"/>
        <v>1.0000000000003872</v>
      </c>
      <c r="O35" t="str">
        <f t="shared" si="7"/>
        <v>Q1998-2</v>
      </c>
      <c r="P35">
        <f t="shared" si="8"/>
        <v>1.2442757303235642E-2</v>
      </c>
      <c r="Q35">
        <f t="shared" si="9"/>
        <v>-1.3447084833028245E-2</v>
      </c>
      <c r="R35">
        <f t="shared" si="10"/>
        <v>-1.0043275297921817E-3</v>
      </c>
    </row>
    <row r="36" spans="1:18" x14ac:dyDescent="0.35">
      <c r="A36" s="1">
        <v>1998</v>
      </c>
      <c r="B36" s="1">
        <v>3</v>
      </c>
      <c r="C36" s="2">
        <v>57504.064580655002</v>
      </c>
      <c r="D36" s="2">
        <v>53330.871837778308</v>
      </c>
      <c r="E36" s="3">
        <v>91.581391942455099</v>
      </c>
      <c r="F36" s="2">
        <v>110834.936418433</v>
      </c>
      <c r="G36">
        <f t="shared" si="12"/>
        <v>1210.2342415594187</v>
      </c>
      <c r="H36">
        <f t="shared" si="13"/>
        <v>44.066569930346766</v>
      </c>
      <c r="I36">
        <f t="shared" si="14"/>
        <v>47.514822012108581</v>
      </c>
      <c r="J36">
        <f t="shared" si="15"/>
        <v>-7.3682263809872223E-4</v>
      </c>
      <c r="K36" s="4">
        <f t="shared" si="4"/>
        <v>-1.3036951128357318E-3</v>
      </c>
      <c r="L36">
        <f t="shared" si="5"/>
        <v>-12.604016335558622</v>
      </c>
      <c r="M36">
        <f>(I36-I32)/(E36-E32)</f>
        <v>13.604016335559217</v>
      </c>
      <c r="N36">
        <f t="shared" si="11"/>
        <v>1.0000000000005951</v>
      </c>
      <c r="O36" t="str">
        <f t="shared" si="7"/>
        <v>Q1998-3</v>
      </c>
      <c r="P36">
        <f t="shared" si="8"/>
        <v>1.6431794498769504E-2</v>
      </c>
      <c r="Q36">
        <f>M36*K36</f>
        <v>-1.7735489611606012E-2</v>
      </c>
      <c r="R36">
        <f>E36/E32-1</f>
        <v>-1.3036951128356788E-3</v>
      </c>
    </row>
    <row r="37" spans="1:18" x14ac:dyDescent="0.35">
      <c r="A37" s="1">
        <v>1998</v>
      </c>
      <c r="B37" s="1">
        <v>4</v>
      </c>
      <c r="C37" s="2">
        <v>61764.626204147498</v>
      </c>
      <c r="D37" s="2">
        <v>51592.070828012016</v>
      </c>
      <c r="E37" s="3">
        <v>90.817428486113101</v>
      </c>
      <c r="F37" s="2">
        <v>113356.69703215999</v>
      </c>
      <c r="G37">
        <f t="shared" si="12"/>
        <v>1248.1821927989668</v>
      </c>
      <c r="H37">
        <f t="shared" si="13"/>
        <v>41.333766116563623</v>
      </c>
      <c r="I37">
        <f t="shared" si="14"/>
        <v>49.483662369549087</v>
      </c>
      <c r="J37">
        <f t="shared" si="15"/>
        <v>-8.3419070199547921E-3</v>
      </c>
      <c r="K37" s="4">
        <f t="shared" si="4"/>
        <v>-3.7829859866962637E-3</v>
      </c>
      <c r="L37">
        <f t="shared" si="5"/>
        <v>2.8941685166265221</v>
      </c>
      <c r="M37">
        <f t="shared" si="6"/>
        <v>-1.8941685166253683</v>
      </c>
      <c r="N37">
        <f t="shared" si="11"/>
        <v>1.0000000000011537</v>
      </c>
      <c r="O37" t="str">
        <f t="shared" si="7"/>
        <v>Q1998-4</v>
      </c>
      <c r="P37">
        <f t="shared" si="8"/>
        <v>-1.0948598941535645E-2</v>
      </c>
      <c r="Q37">
        <f t="shared" si="9"/>
        <v>7.1656129548350175E-3</v>
      </c>
      <c r="R37">
        <f t="shared" si="10"/>
        <v>-3.7829859866962412E-3</v>
      </c>
    </row>
    <row r="38" spans="1:18" x14ac:dyDescent="0.35">
      <c r="A38" s="1">
        <v>1999</v>
      </c>
      <c r="B38" s="1">
        <v>1</v>
      </c>
      <c r="C38" s="2">
        <v>65897.268439802399</v>
      </c>
      <c r="D38" s="2">
        <v>43968.267549455966</v>
      </c>
      <c r="E38" s="3">
        <v>91.539472911578002</v>
      </c>
      <c r="F38" s="2">
        <v>109865.535989258</v>
      </c>
      <c r="G38">
        <f t="shared" si="12"/>
        <v>1200.1984771682262</v>
      </c>
      <c r="H38">
        <f t="shared" si="13"/>
        <v>36.634163753644842</v>
      </c>
      <c r="I38">
        <f t="shared" si="14"/>
        <v>54.905309157933459</v>
      </c>
      <c r="J38">
        <f t="shared" si="15"/>
        <v>7.9505050682569019E-3</v>
      </c>
      <c r="K38" s="4">
        <f t="shared" ref="K38:K69" si="16">(E38-E34)/E34</f>
        <v>-2.9892511915012095E-3</v>
      </c>
      <c r="L38">
        <f t="shared" si="5"/>
        <v>8.1426134932060634</v>
      </c>
      <c r="M38">
        <f t="shared" si="6"/>
        <v>-7.1426134932086782</v>
      </c>
      <c r="N38">
        <f t="shared" si="11"/>
        <v>0.9999999999973852</v>
      </c>
      <c r="O38" t="str">
        <f t="shared" si="7"/>
        <v>Q1999-1</v>
      </c>
      <c r="P38">
        <f t="shared" si="8"/>
        <v>-2.434031708650005E-2</v>
      </c>
      <c r="Q38">
        <f t="shared" si="9"/>
        <v>2.1351065895006658E-2</v>
      </c>
      <c r="R38">
        <f t="shared" si="10"/>
        <v>-2.9892511915011744E-3</v>
      </c>
    </row>
    <row r="39" spans="1:18" x14ac:dyDescent="0.35">
      <c r="A39" s="1">
        <v>1999</v>
      </c>
      <c r="B39" s="1">
        <v>2</v>
      </c>
      <c r="C39" s="2">
        <v>60750.342318580202</v>
      </c>
      <c r="D39" s="2">
        <v>50809.389457474143</v>
      </c>
      <c r="E39" s="3">
        <v>91.358680024901801</v>
      </c>
      <c r="F39" s="2">
        <v>111559.731776054</v>
      </c>
      <c r="G39">
        <f t="shared" si="12"/>
        <v>1221.1180343854132</v>
      </c>
      <c r="H39">
        <f t="shared" si="13"/>
        <v>41.608909234598627</v>
      </c>
      <c r="I39">
        <f t="shared" si="14"/>
        <v>49.749770790303458</v>
      </c>
      <c r="J39">
        <f t="shared" si="15"/>
        <v>-1.9750265205354302E-3</v>
      </c>
      <c r="K39" s="4">
        <f t="shared" si="16"/>
        <v>-3.1668776268949975E-3</v>
      </c>
      <c r="L39">
        <f t="shared" si="5"/>
        <v>0.83463677808771186</v>
      </c>
      <c r="M39">
        <f t="shared" si="6"/>
        <v>0.16536322191037858</v>
      </c>
      <c r="N39">
        <f t="shared" si="11"/>
        <v>0.99999999999809042</v>
      </c>
      <c r="O39" t="str">
        <f t="shared" si="7"/>
        <v>Q1999-2</v>
      </c>
      <c r="P39">
        <f t="shared" si="8"/>
        <v>-2.6431925391096995E-3</v>
      </c>
      <c r="Q39">
        <f t="shared" si="9"/>
        <v>-5.2368508777925064E-4</v>
      </c>
      <c r="R39">
        <f t="shared" si="10"/>
        <v>-3.1668776268950483E-3</v>
      </c>
    </row>
    <row r="40" spans="1:18" x14ac:dyDescent="0.35">
      <c r="A40" s="1">
        <v>1999</v>
      </c>
      <c r="B40" s="1">
        <v>3</v>
      </c>
      <c r="C40" s="2">
        <v>59538.786915699398</v>
      </c>
      <c r="D40" s="2">
        <v>53184.444140673499</v>
      </c>
      <c r="E40" s="3">
        <v>92.116806087221704</v>
      </c>
      <c r="F40" s="2">
        <v>112723.231056373</v>
      </c>
      <c r="G40">
        <f t="shared" si="12"/>
        <v>1223.6988650001597</v>
      </c>
      <c r="H40">
        <f t="shared" si="13"/>
        <v>43.462036013792137</v>
      </c>
      <c r="I40">
        <f t="shared" si="14"/>
        <v>48.654770073429489</v>
      </c>
      <c r="J40">
        <f t="shared" si="15"/>
        <v>8.2983473722831706E-3</v>
      </c>
      <c r="K40" s="4">
        <f t="shared" si="16"/>
        <v>5.8463202339513595E-3</v>
      </c>
      <c r="L40">
        <f t="shared" si="5"/>
        <v>-1.1290959016746833</v>
      </c>
      <c r="M40">
        <f t="shared" si="6"/>
        <v>2.1290959016740727</v>
      </c>
      <c r="N40">
        <f t="shared" si="11"/>
        <v>0.99999999999938938</v>
      </c>
      <c r="O40" t="str">
        <f t="shared" si="7"/>
        <v>Q1999-3</v>
      </c>
      <c r="P40">
        <f t="shared" si="8"/>
        <v>-6.6010562160322556E-3</v>
      </c>
      <c r="Q40">
        <f t="shared" si="9"/>
        <v>1.2447376449980046E-2</v>
      </c>
      <c r="R40">
        <f t="shared" si="10"/>
        <v>5.8463202339513742E-3</v>
      </c>
    </row>
    <row r="41" spans="1:18" x14ac:dyDescent="0.35">
      <c r="A41" s="1">
        <v>1999</v>
      </c>
      <c r="B41" s="1">
        <v>4</v>
      </c>
      <c r="C41" s="2">
        <v>61490.916193395897</v>
      </c>
      <c r="D41" s="2">
        <v>57891.692122128501</v>
      </c>
      <c r="E41" s="3">
        <v>91.706523939937796</v>
      </c>
      <c r="F41" s="2">
        <v>119382.608315524</v>
      </c>
      <c r="G41">
        <f t="shared" si="12"/>
        <v>1301.7897003021549</v>
      </c>
      <c r="H41">
        <f t="shared" si="13"/>
        <v>44.470848178236025</v>
      </c>
      <c r="I41">
        <f t="shared" si="14"/>
        <v>47.235675761702069</v>
      </c>
      <c r="J41">
        <f t="shared" si="15"/>
        <v>-4.4539337034268048E-3</v>
      </c>
      <c r="K41" s="4">
        <f t="shared" si="16"/>
        <v>9.7899210387865816E-3</v>
      </c>
      <c r="L41">
        <f t="shared" si="5"/>
        <v>3.5283973708080048</v>
      </c>
      <c r="M41">
        <f t="shared" si="6"/>
        <v>-2.5283973708072298</v>
      </c>
      <c r="N41">
        <f t="shared" si="11"/>
        <v>1.0000000000007749</v>
      </c>
      <c r="O41" t="str">
        <f t="shared" si="7"/>
        <v>Q1999-4</v>
      </c>
      <c r="P41">
        <f t="shared" si="8"/>
        <v>3.4542731653672547E-2</v>
      </c>
      <c r="Q41">
        <f t="shared" si="9"/>
        <v>-2.4752810614878377E-2</v>
      </c>
      <c r="R41">
        <f t="shared" si="10"/>
        <v>9.7899210387866198E-3</v>
      </c>
    </row>
    <row r="42" spans="1:18" x14ac:dyDescent="0.35">
      <c r="A42" s="1">
        <v>2000</v>
      </c>
      <c r="B42" s="1">
        <v>1</v>
      </c>
      <c r="C42" s="2">
        <v>67442.148017988104</v>
      </c>
      <c r="D42" s="2">
        <v>48780.304761313215</v>
      </c>
      <c r="E42" s="3">
        <v>92.645877387146299</v>
      </c>
      <c r="F42" s="2">
        <v>116222.45277930101</v>
      </c>
      <c r="G42">
        <f t="shared" si="12"/>
        <v>1254.4805668322779</v>
      </c>
      <c r="H42">
        <f t="shared" si="13"/>
        <v>38.884862827719729</v>
      </c>
      <c r="I42">
        <f t="shared" si="14"/>
        <v>53.761014559426819</v>
      </c>
      <c r="J42">
        <f t="shared" si="15"/>
        <v>1.0243038410481277E-2</v>
      </c>
      <c r="K42" s="4">
        <f t="shared" si="16"/>
        <v>1.2086638041241748E-2</v>
      </c>
      <c r="L42">
        <f t="shared" si="5"/>
        <v>2.0342461764887849</v>
      </c>
      <c r="M42">
        <f t="shared" si="6"/>
        <v>-1.0342461764888298</v>
      </c>
      <c r="N42">
        <f t="shared" si="11"/>
        <v>0.99999999999995515</v>
      </c>
      <c r="O42" t="str">
        <f t="shared" si="7"/>
        <v>Q2000-1</v>
      </c>
      <c r="P42">
        <f t="shared" si="8"/>
        <v>2.4587197221999924E-2</v>
      </c>
      <c r="Q42">
        <f t="shared" si="9"/>
        <v>-1.2500559180758717E-2</v>
      </c>
      <c r="R42">
        <f t="shared" si="10"/>
        <v>1.208663804124166E-2</v>
      </c>
    </row>
    <row r="43" spans="1:18" x14ac:dyDescent="0.35">
      <c r="A43" s="1">
        <v>2000</v>
      </c>
      <c r="B43" s="1">
        <v>2</v>
      </c>
      <c r="C43" s="2">
        <v>63879.427043293203</v>
      </c>
      <c r="D43" s="2">
        <v>53496.580021682479</v>
      </c>
      <c r="E43" s="3">
        <v>92.621487862957807</v>
      </c>
      <c r="F43" s="2">
        <v>117376.007064976</v>
      </c>
      <c r="G43">
        <f t="shared" si="12"/>
        <v>1267.2654021564072</v>
      </c>
      <c r="H43">
        <f t="shared" si="13"/>
        <v>42.214188070353302</v>
      </c>
      <c r="I43">
        <f t="shared" si="14"/>
        <v>50.407299792604249</v>
      </c>
      <c r="J43">
        <f t="shared" si="15"/>
        <v>-2.6325536414938886E-4</v>
      </c>
      <c r="K43" s="4">
        <f t="shared" si="16"/>
        <v>1.3822527183096338E-2</v>
      </c>
      <c r="L43">
        <f t="shared" si="5"/>
        <v>0.47931190915512079</v>
      </c>
      <c r="M43">
        <f t="shared" si="6"/>
        <v>0.52068809084445156</v>
      </c>
      <c r="N43">
        <f t="shared" si="11"/>
        <v>0.99999999999957234</v>
      </c>
      <c r="O43" t="str">
        <f t="shared" si="7"/>
        <v>Q2000-2</v>
      </c>
      <c r="P43">
        <f t="shared" si="8"/>
        <v>6.6253018934784597E-3</v>
      </c>
      <c r="Q43">
        <f t="shared" si="9"/>
        <v>7.197225289611967E-3</v>
      </c>
      <c r="R43">
        <f t="shared" si="10"/>
        <v>1.3822527183096289E-2</v>
      </c>
    </row>
    <row r="44" spans="1:18" x14ac:dyDescent="0.35">
      <c r="A44" s="1">
        <v>2000</v>
      </c>
      <c r="B44" s="1">
        <v>3</v>
      </c>
      <c r="C44" s="2">
        <v>60854.015626326502</v>
      </c>
      <c r="D44" s="2">
        <v>57840.801346171167</v>
      </c>
      <c r="E44" s="3">
        <v>93.430141236431098</v>
      </c>
      <c r="F44" s="2">
        <v>118694.816972498</v>
      </c>
      <c r="G44">
        <f t="shared" si="12"/>
        <v>1270.4124750505619</v>
      </c>
      <c r="H44">
        <f t="shared" si="13"/>
        <v>45.529150950654142</v>
      </c>
      <c r="I44">
        <f t="shared" si="14"/>
        <v>47.9009902857767</v>
      </c>
      <c r="J44">
        <f t="shared" si="15"/>
        <v>8.7307318434548323E-3</v>
      </c>
      <c r="K44" s="4">
        <f t="shared" si="16"/>
        <v>1.4257280565783504E-2</v>
      </c>
      <c r="L44">
        <f t="shared" si="5"/>
        <v>1.5739432071900112</v>
      </c>
      <c r="M44">
        <f t="shared" si="6"/>
        <v>-0.57394320719014646</v>
      </c>
      <c r="N44">
        <f t="shared" si="11"/>
        <v>0.99999999999986477</v>
      </c>
      <c r="O44" t="str">
        <f t="shared" si="7"/>
        <v>Q2000-3</v>
      </c>
      <c r="P44">
        <f t="shared" si="8"/>
        <v>2.2440149899517106E-2</v>
      </c>
      <c r="Q44">
        <f t="shared" si="9"/>
        <v>-8.1828693337355311E-3</v>
      </c>
      <c r="R44">
        <f t="shared" si="10"/>
        <v>1.4257280565783459E-2</v>
      </c>
    </row>
    <row r="45" spans="1:18" x14ac:dyDescent="0.35">
      <c r="A45" s="1">
        <v>2000</v>
      </c>
      <c r="B45" s="1">
        <v>4</v>
      </c>
      <c r="C45" s="2">
        <v>65486.3647395765</v>
      </c>
      <c r="D45" s="2">
        <v>59014.790275883235</v>
      </c>
      <c r="E45" s="3">
        <v>93.3029880691101</v>
      </c>
      <c r="F45" s="2">
        <v>124501.15501546</v>
      </c>
      <c r="G45">
        <f t="shared" si="12"/>
        <v>1334.3747889750457</v>
      </c>
      <c r="H45">
        <f t="shared" si="13"/>
        <v>44.226547716188065</v>
      </c>
      <c r="I45">
        <f t="shared" si="14"/>
        <v>49.076440352921843</v>
      </c>
      <c r="J45">
        <f t="shared" si="15"/>
        <v>-1.3609437558188889E-3</v>
      </c>
      <c r="K45" s="4">
        <f t="shared" si="16"/>
        <v>1.7408403029405967E-2</v>
      </c>
      <c r="L45">
        <f t="shared" si="5"/>
        <v>-0.15302596380578801</v>
      </c>
      <c r="M45">
        <f t="shared" si="6"/>
        <v>1.1530259638054809</v>
      </c>
      <c r="N45">
        <f t="shared" si="11"/>
        <v>0.99999999999969291</v>
      </c>
      <c r="O45" t="str">
        <f t="shared" si="7"/>
        <v>Q2000-4</v>
      </c>
      <c r="P45">
        <f t="shared" si="8"/>
        <v>-2.6639376518944476E-3</v>
      </c>
      <c r="Q45">
        <f t="shared" si="9"/>
        <v>2.007234068129507E-2</v>
      </c>
      <c r="R45">
        <f t="shared" si="10"/>
        <v>1.7408403029405939E-2</v>
      </c>
    </row>
    <row r="46" spans="1:18" x14ac:dyDescent="0.35">
      <c r="A46" s="1">
        <v>2001</v>
      </c>
      <c r="B46" s="1">
        <v>1</v>
      </c>
      <c r="C46" s="2">
        <v>71621.091811550199</v>
      </c>
      <c r="D46" s="2">
        <v>49361.597780840057</v>
      </c>
      <c r="E46" s="3">
        <v>94.365275456100903</v>
      </c>
      <c r="F46" s="2">
        <v>120982.68959239</v>
      </c>
      <c r="G46">
        <f t="shared" si="12"/>
        <v>1282.0678899906525</v>
      </c>
      <c r="H46">
        <f t="shared" si="13"/>
        <v>38.501547512589177</v>
      </c>
      <c r="I46">
        <f t="shared" si="14"/>
        <v>55.863727943511932</v>
      </c>
      <c r="J46">
        <f t="shared" si="15"/>
        <v>1.1385352269789694E-2</v>
      </c>
      <c r="K46" s="4">
        <f t="shared" si="16"/>
        <v>1.8558818993851454E-2</v>
      </c>
      <c r="L46">
        <f t="shared" si="5"/>
        <v>-0.22293575993347986</v>
      </c>
      <c r="M46">
        <f t="shared" si="6"/>
        <v>1.2229357599334552</v>
      </c>
      <c r="N46">
        <f t="shared" si="11"/>
        <v>0.99999999999997535</v>
      </c>
      <c r="O46" t="str">
        <f t="shared" si="7"/>
        <v>Q2001-1</v>
      </c>
      <c r="P46">
        <f t="shared" si="8"/>
        <v>-4.1374244158621743E-3</v>
      </c>
      <c r="Q46">
        <f t="shared" si="9"/>
        <v>2.2696243409713168E-2</v>
      </c>
      <c r="R46">
        <f t="shared" si="10"/>
        <v>1.8558818993851478E-2</v>
      </c>
    </row>
    <row r="47" spans="1:18" x14ac:dyDescent="0.35">
      <c r="A47" s="1">
        <v>2001</v>
      </c>
      <c r="B47" s="1">
        <v>2</v>
      </c>
      <c r="C47" s="2">
        <v>65134.3303011385</v>
      </c>
      <c r="D47" s="2">
        <v>56780.214413499983</v>
      </c>
      <c r="E47" s="3">
        <v>93.872788677160102</v>
      </c>
      <c r="F47" s="2">
        <v>121914.544714638</v>
      </c>
      <c r="G47">
        <f t="shared" si="12"/>
        <v>1298.7208160387872</v>
      </c>
      <c r="H47">
        <f t="shared" si="13"/>
        <v>43.720108057314917</v>
      </c>
      <c r="I47">
        <f t="shared" si="14"/>
        <v>50.152680619845562</v>
      </c>
      <c r="J47">
        <f t="shared" si="15"/>
        <v>-5.2189407232738697E-3</v>
      </c>
      <c r="K47" s="4">
        <f t="shared" si="16"/>
        <v>1.3509832794455997E-2</v>
      </c>
      <c r="L47">
        <f t="shared" si="5"/>
        <v>1.2034835827399661</v>
      </c>
      <c r="M47">
        <f t="shared" si="6"/>
        <v>-0.20348358273946066</v>
      </c>
      <c r="N47">
        <f t="shared" si="11"/>
        <v>1.0000000000005054</v>
      </c>
      <c r="O47" t="str">
        <f t="shared" si="7"/>
        <v>Q2001-2</v>
      </c>
      <c r="P47">
        <f t="shared" si="8"/>
        <v>1.6258861973689791E-2</v>
      </c>
      <c r="Q47">
        <f t="shared" si="9"/>
        <v>-2.7490291792269658E-3</v>
      </c>
      <c r="R47">
        <f t="shared" si="10"/>
        <v>1.3509832794456056E-2</v>
      </c>
    </row>
    <row r="48" spans="1:18" x14ac:dyDescent="0.35">
      <c r="A48" s="1">
        <v>2001</v>
      </c>
      <c r="B48" s="1">
        <v>3</v>
      </c>
      <c r="C48" s="2">
        <v>65554.649049715998</v>
      </c>
      <c r="D48" s="2">
        <v>56043.625661784841</v>
      </c>
      <c r="E48" s="3">
        <v>94.177780057798202</v>
      </c>
      <c r="F48" s="2">
        <v>121598.274711501</v>
      </c>
      <c r="G48">
        <f t="shared" si="12"/>
        <v>1291.1567318413586</v>
      </c>
      <c r="H48">
        <f t="shared" si="13"/>
        <v>43.405749495539006</v>
      </c>
      <c r="I48">
        <f t="shared" si="14"/>
        <v>50.772030562259069</v>
      </c>
      <c r="J48">
        <f t="shared" si="15"/>
        <v>3.2489860473518292E-3</v>
      </c>
      <c r="K48" s="4">
        <f t="shared" si="16"/>
        <v>8.0021159282544097E-3</v>
      </c>
      <c r="L48">
        <f t="shared" si="5"/>
        <v>-2.8401433879963105</v>
      </c>
      <c r="M48">
        <f t="shared" si="6"/>
        <v>3.8401433879964815</v>
      </c>
      <c r="N48">
        <f t="shared" si="11"/>
        <v>1.000000000000171</v>
      </c>
      <c r="O48" t="str">
        <f t="shared" si="7"/>
        <v>Q2001-3</v>
      </c>
      <c r="P48">
        <f t="shared" si="8"/>
        <v>-2.2727156643611721E-2</v>
      </c>
      <c r="Q48">
        <f t="shared" si="9"/>
        <v>3.07292725718675E-2</v>
      </c>
      <c r="R48">
        <f t="shared" si="10"/>
        <v>8.0021159282543941E-3</v>
      </c>
    </row>
    <row r="49" spans="1:18" x14ac:dyDescent="0.35">
      <c r="A49" s="1">
        <v>2001</v>
      </c>
      <c r="B49" s="1">
        <v>4</v>
      </c>
      <c r="C49" s="2">
        <v>69988.883393141397</v>
      </c>
      <c r="D49" s="2">
        <v>55189.863237744496</v>
      </c>
      <c r="E49" s="3">
        <v>93.681777105186399</v>
      </c>
      <c r="F49" s="2">
        <v>125178.746630886</v>
      </c>
      <c r="G49">
        <f t="shared" si="12"/>
        <v>1336.212340318167</v>
      </c>
      <c r="H49">
        <f t="shared" si="13"/>
        <v>41.303213248729001</v>
      </c>
      <c r="I49">
        <f t="shared" si="14"/>
        <v>52.378563856457326</v>
      </c>
      <c r="J49">
        <f t="shared" si="15"/>
        <v>-5.2666664292511422E-3</v>
      </c>
      <c r="K49" s="4">
        <f t="shared" si="16"/>
        <v>4.0597739034437703E-3</v>
      </c>
      <c r="L49">
        <f t="shared" si="5"/>
        <v>-7.7175794150235726</v>
      </c>
      <c r="M49">
        <f t="shared" si="6"/>
        <v>8.7175794150238914</v>
      </c>
      <c r="N49">
        <f t="shared" si="11"/>
        <v>1.0000000000003189</v>
      </c>
      <c r="O49" t="str">
        <f t="shared" si="7"/>
        <v>Q2001-4</v>
      </c>
      <c r="P49">
        <f t="shared" si="8"/>
        <v>-3.1331627506867542E-2</v>
      </c>
      <c r="Q49">
        <f t="shared" si="9"/>
        <v>3.5391401410312606E-2</v>
      </c>
      <c r="R49">
        <f t="shared" si="10"/>
        <v>4.0597739034438085E-3</v>
      </c>
    </row>
    <row r="50" spans="1:18" x14ac:dyDescent="0.35">
      <c r="A50" s="1">
        <v>2002</v>
      </c>
      <c r="B50" s="1">
        <v>1</v>
      </c>
      <c r="C50" s="2">
        <v>79444.406001845695</v>
      </c>
      <c r="D50" s="2">
        <v>41068.806208183029</v>
      </c>
      <c r="E50" s="3">
        <v>93.804806811384495</v>
      </c>
      <c r="F50" s="2">
        <v>120513.212210029</v>
      </c>
      <c r="G50">
        <f t="shared" si="12"/>
        <v>1284.7232066939566</v>
      </c>
      <c r="H50">
        <f t="shared" si="13"/>
        <v>31.967046282185148</v>
      </c>
      <c r="I50">
        <f t="shared" si="14"/>
        <v>61.837760529199137</v>
      </c>
      <c r="J50">
        <f t="shared" si="15"/>
        <v>1.3132725488326066E-3</v>
      </c>
      <c r="K50" s="4">
        <f t="shared" si="16"/>
        <v>-5.9393526062152032E-3</v>
      </c>
      <c r="L50">
        <f t="shared" si="5"/>
        <v>11.658995185556583</v>
      </c>
      <c r="M50">
        <f t="shared" si="6"/>
        <v>-10.65899518555584</v>
      </c>
      <c r="N50">
        <f t="shared" si="11"/>
        <v>1.0000000000007425</v>
      </c>
      <c r="O50" t="str">
        <f t="shared" si="7"/>
        <v>Q2002-1</v>
      </c>
      <c r="P50">
        <f t="shared" si="8"/>
        <v>-6.9246883441186E-2</v>
      </c>
      <c r="Q50">
        <f t="shared" si="9"/>
        <v>6.3307530834966388E-2</v>
      </c>
      <c r="R50">
        <f t="shared" si="10"/>
        <v>-5.9393526062152535E-3</v>
      </c>
    </row>
    <row r="51" spans="1:18" x14ac:dyDescent="0.35">
      <c r="A51" s="1">
        <v>2002</v>
      </c>
      <c r="B51" s="1">
        <v>2</v>
      </c>
      <c r="C51" s="2">
        <v>67767.967094436899</v>
      </c>
      <c r="D51" s="2">
        <v>54347.731265727954</v>
      </c>
      <c r="E51" s="3">
        <v>93.417038320316195</v>
      </c>
      <c r="F51" s="2">
        <v>122115.698360165</v>
      </c>
      <c r="G51">
        <f t="shared" si="12"/>
        <v>1307.2101252176763</v>
      </c>
      <c r="H51">
        <f t="shared" si="13"/>
        <v>41.575359781334299</v>
      </c>
      <c r="I51">
        <f t="shared" si="14"/>
        <v>51.841678538981782</v>
      </c>
      <c r="J51">
        <f t="shared" si="15"/>
        <v>-4.1337806051665905E-3</v>
      </c>
      <c r="K51" s="4">
        <f t="shared" si="16"/>
        <v>-4.8549783517275501E-3</v>
      </c>
      <c r="L51">
        <f t="shared" si="5"/>
        <v>4.7059716877307576</v>
      </c>
      <c r="M51">
        <f t="shared" si="6"/>
        <v>-3.7059716877296816</v>
      </c>
      <c r="N51">
        <f t="shared" si="11"/>
        <v>1.000000000001076</v>
      </c>
      <c r="O51" t="str">
        <f t="shared" si="7"/>
        <v>Q2002-2</v>
      </c>
      <c r="P51">
        <f t="shared" si="8"/>
        <v>-2.284739066777559E-2</v>
      </c>
      <c r="Q51">
        <f t="shared" si="9"/>
        <v>1.7992412316042816E-2</v>
      </c>
      <c r="R51">
        <f t="shared" si="10"/>
        <v>-4.8549783517275458E-3</v>
      </c>
    </row>
    <row r="52" spans="1:18" x14ac:dyDescent="0.35">
      <c r="A52" s="1">
        <v>2002</v>
      </c>
      <c r="B52" s="1">
        <v>3</v>
      </c>
      <c r="C52" s="2">
        <v>65376.263238108302</v>
      </c>
      <c r="D52" s="2">
        <v>56430.467414000392</v>
      </c>
      <c r="E52" s="3">
        <v>93.581912158794395</v>
      </c>
      <c r="F52" s="2">
        <v>121806.73065210901</v>
      </c>
      <c r="G52">
        <f t="shared" si="12"/>
        <v>1301.6054902300068</v>
      </c>
      <c r="H52">
        <f t="shared" si="13"/>
        <v>43.354509363684812</v>
      </c>
      <c r="I52">
        <f t="shared" si="14"/>
        <v>50.227402795109334</v>
      </c>
      <c r="J52">
        <f t="shared" si="15"/>
        <v>1.7649225606239775E-3</v>
      </c>
      <c r="K52" s="4">
        <f t="shared" si="16"/>
        <v>-6.3270539891481228E-3</v>
      </c>
      <c r="L52">
        <f t="shared" si="5"/>
        <v>8.5992435470778644E-2</v>
      </c>
      <c r="M52">
        <f t="shared" si="6"/>
        <v>0.91400756452942411</v>
      </c>
      <c r="N52">
        <f t="shared" si="11"/>
        <v>1.0000000000002027</v>
      </c>
      <c r="O52" t="str">
        <f t="shared" si="7"/>
        <v>Q2002-3</v>
      </c>
      <c r="P52">
        <f t="shared" si="8"/>
        <v>-5.4407878188195255E-4</v>
      </c>
      <c r="Q52">
        <f t="shared" si="9"/>
        <v>-5.7829752072674533E-3</v>
      </c>
      <c r="R52">
        <f t="shared" si="10"/>
        <v>-6.3270539891481237E-3</v>
      </c>
    </row>
    <row r="53" spans="1:18" x14ac:dyDescent="0.35">
      <c r="A53" s="1">
        <v>2002</v>
      </c>
      <c r="B53" s="1">
        <v>4</v>
      </c>
      <c r="C53" s="2">
        <v>67440.794531234002</v>
      </c>
      <c r="D53" s="2">
        <v>57416.361431868223</v>
      </c>
      <c r="E53" s="3">
        <v>93.565816454415298</v>
      </c>
      <c r="F53" s="2">
        <v>124857.15596310201</v>
      </c>
      <c r="G53">
        <f t="shared" si="12"/>
        <v>1334.4313200529989</v>
      </c>
      <c r="H53">
        <f t="shared" si="13"/>
        <v>43.026838900624611</v>
      </c>
      <c r="I53">
        <f t="shared" si="14"/>
        <v>50.538977553790851</v>
      </c>
      <c r="J53">
        <f t="shared" si="15"/>
        <v>-1.7199589116949501E-4</v>
      </c>
      <c r="K53" s="4">
        <f t="shared" si="16"/>
        <v>-1.2378143792137841E-3</v>
      </c>
      <c r="L53">
        <f t="shared" si="5"/>
        <v>-14.863883916087593</v>
      </c>
      <c r="M53">
        <f t="shared" si="6"/>
        <v>15.863883916085571</v>
      </c>
      <c r="N53">
        <f t="shared" si="11"/>
        <v>0.99999999999797851</v>
      </c>
      <c r="O53" t="str">
        <f t="shared" si="7"/>
        <v>Q2002-4</v>
      </c>
      <c r="P53">
        <f t="shared" si="8"/>
        <v>1.8398729242297716E-2</v>
      </c>
      <c r="Q53">
        <f t="shared" si="9"/>
        <v>-1.9636543621508996E-2</v>
      </c>
      <c r="R53">
        <f t="shared" si="10"/>
        <v>-1.2378143792137752E-3</v>
      </c>
    </row>
    <row r="54" spans="1:18" x14ac:dyDescent="0.35">
      <c r="A54" s="1">
        <v>2003</v>
      </c>
      <c r="B54" s="1">
        <v>1</v>
      </c>
      <c r="C54" s="2">
        <v>78889.517650434806</v>
      </c>
      <c r="D54" s="2">
        <v>41956.765784580639</v>
      </c>
      <c r="E54" s="3">
        <v>94.488414051628595</v>
      </c>
      <c r="F54" s="2">
        <v>120846.28343501499</v>
      </c>
      <c r="G54">
        <f t="shared" si="12"/>
        <v>1278.9534531607699</v>
      </c>
      <c r="H54">
        <f t="shared" si="13"/>
        <v>32.805545566095354</v>
      </c>
      <c r="I54">
        <f t="shared" si="14"/>
        <v>61.682868485533582</v>
      </c>
      <c r="J54">
        <f t="shared" si="15"/>
        <v>9.860413045856135E-3</v>
      </c>
      <c r="K54" s="4">
        <f t="shared" si="16"/>
        <v>7.2875502171082284E-3</v>
      </c>
      <c r="L54">
        <f t="shared" si="5"/>
        <v>1.2265804610419242</v>
      </c>
      <c r="M54">
        <f t="shared" si="6"/>
        <v>-0.22658046104111856</v>
      </c>
      <c r="N54">
        <f t="shared" si="11"/>
        <v>1.0000000000008056</v>
      </c>
      <c r="O54" t="str">
        <f t="shared" si="7"/>
        <v>Q2003-1</v>
      </c>
      <c r="P54">
        <f t="shared" si="8"/>
        <v>8.9387667051667851E-3</v>
      </c>
      <c r="Q54">
        <f t="shared" si="9"/>
        <v>-1.651216488052686E-3</v>
      </c>
      <c r="R54">
        <f t="shared" si="10"/>
        <v>7.2875502171081408E-3</v>
      </c>
    </row>
    <row r="55" spans="1:18" x14ac:dyDescent="0.35">
      <c r="A55" s="1">
        <v>2003</v>
      </c>
      <c r="B55" s="1">
        <v>2</v>
      </c>
      <c r="C55" s="2">
        <v>67398.166323927799</v>
      </c>
      <c r="D55" s="2">
        <v>54681.233106191867</v>
      </c>
      <c r="E55" s="3">
        <v>94.761506945873506</v>
      </c>
      <c r="F55" s="2">
        <v>122079.39943012</v>
      </c>
      <c r="G55">
        <f t="shared" si="12"/>
        <v>1288.2804776400412</v>
      </c>
      <c r="H55">
        <f t="shared" si="13"/>
        <v>42.44513058706022</v>
      </c>
      <c r="I55">
        <f t="shared" si="14"/>
        <v>52.316376358813024</v>
      </c>
      <c r="J55">
        <f t="shared" si="15"/>
        <v>2.8902262461056104E-3</v>
      </c>
      <c r="K55" s="4">
        <f t="shared" si="16"/>
        <v>1.4392113577260763E-2</v>
      </c>
      <c r="L55">
        <f t="shared" si="5"/>
        <v>0.64692532736893094</v>
      </c>
      <c r="M55">
        <f t="shared" si="6"/>
        <v>0.35307467263095804</v>
      </c>
      <c r="N55">
        <f t="shared" si="11"/>
        <v>0.99999999999988898</v>
      </c>
      <c r="O55" t="str">
        <f t="shared" si="7"/>
        <v>Q2003-2</v>
      </c>
      <c r="P55">
        <f t="shared" si="8"/>
        <v>9.3106227875002553E-3</v>
      </c>
      <c r="Q55">
        <f t="shared" si="9"/>
        <v>5.0814907897589103E-3</v>
      </c>
      <c r="R55">
        <f t="shared" si="10"/>
        <v>1.4392113577260668E-2</v>
      </c>
    </row>
    <row r="56" spans="1:18" x14ac:dyDescent="0.35">
      <c r="A56" s="1">
        <v>2003</v>
      </c>
      <c r="B56" s="1">
        <v>3</v>
      </c>
      <c r="C56" s="2">
        <v>66432.626282179393</v>
      </c>
      <c r="D56" s="2">
        <v>56290.065003188487</v>
      </c>
      <c r="E56" s="3">
        <v>94.761881207245096</v>
      </c>
      <c r="F56" s="2">
        <v>122722.691285368</v>
      </c>
      <c r="G56">
        <f t="shared" si="12"/>
        <v>1295.0638982880928</v>
      </c>
      <c r="H56">
        <f t="shared" si="13"/>
        <v>43.465086995009806</v>
      </c>
      <c r="I56">
        <f t="shared" si="14"/>
        <v>51.296794212235199</v>
      </c>
      <c r="J56">
        <f t="shared" si="15"/>
        <v>3.9495084412682084E-6</v>
      </c>
      <c r="K56" s="4">
        <f t="shared" si="16"/>
        <v>1.2608943557901141E-2</v>
      </c>
      <c r="L56">
        <f t="shared" si="5"/>
        <v>9.3712315140962135E-2</v>
      </c>
      <c r="M56">
        <f t="shared" si="6"/>
        <v>0.90628768485917033</v>
      </c>
      <c r="N56">
        <f t="shared" si="11"/>
        <v>1.0000000000001326</v>
      </c>
      <c r="O56" t="str">
        <f t="shared" si="7"/>
        <v>Q2003-3</v>
      </c>
      <c r="P56">
        <f t="shared" si="8"/>
        <v>1.181613292292636E-3</v>
      </c>
      <c r="Q56">
        <f t="shared" si="9"/>
        <v>1.1427330265610176E-2</v>
      </c>
      <c r="R56">
        <f t="shared" si="10"/>
        <v>1.2608943557901098E-2</v>
      </c>
    </row>
    <row r="57" spans="1:18" x14ac:dyDescent="0.35">
      <c r="A57" s="1">
        <v>2003</v>
      </c>
      <c r="B57" s="1">
        <v>4</v>
      </c>
      <c r="C57" s="2">
        <v>68302.737970118993</v>
      </c>
      <c r="D57" s="2">
        <v>59700.563176425232</v>
      </c>
      <c r="E57" s="3">
        <v>94.760176013997096</v>
      </c>
      <c r="F57" s="2">
        <v>128003.30114654401</v>
      </c>
      <c r="G57">
        <f t="shared" si="12"/>
        <v>1350.8132480424745</v>
      </c>
      <c r="H57">
        <f t="shared" si="13"/>
        <v>44.196015446946539</v>
      </c>
      <c r="I57">
        <f t="shared" si="14"/>
        <v>50.56416056705072</v>
      </c>
      <c r="J57">
        <f t="shared" si="15"/>
        <v>-1.7994506084897585E-5</v>
      </c>
      <c r="K57" s="4">
        <f t="shared" si="16"/>
        <v>1.2764913563958296E-2</v>
      </c>
      <c r="L57">
        <f t="shared" si="5"/>
        <v>0.97891504860672984</v>
      </c>
      <c r="M57">
        <f t="shared" si="6"/>
        <v>2.1084951393270206E-2</v>
      </c>
      <c r="N57">
        <f t="shared" si="11"/>
        <v>1</v>
      </c>
      <c r="O57" t="str">
        <f t="shared" si="7"/>
        <v>Q2003-4</v>
      </c>
      <c r="P57">
        <f t="shared" si="8"/>
        <v>1.2495765981922941E-2</v>
      </c>
      <c r="Q57">
        <f t="shared" si="9"/>
        <v>2.6914758203535623E-4</v>
      </c>
      <c r="R57">
        <f t="shared" si="10"/>
        <v>1.2764913563958258E-2</v>
      </c>
    </row>
    <row r="58" spans="1:18" x14ac:dyDescent="0.35">
      <c r="A58" s="1">
        <v>2004</v>
      </c>
      <c r="B58" s="1">
        <v>1</v>
      </c>
      <c r="C58" s="2">
        <v>78525.535748248905</v>
      </c>
      <c r="D58" s="2">
        <v>46382.511176213317</v>
      </c>
      <c r="E58" s="3">
        <v>95.123565957445194</v>
      </c>
      <c r="F58" s="2">
        <v>124908.046924462</v>
      </c>
      <c r="G58">
        <f t="shared" si="12"/>
        <v>1313.1135872297018</v>
      </c>
      <c r="H58">
        <f t="shared" si="13"/>
        <v>35.322543020872473</v>
      </c>
      <c r="I58">
        <f t="shared" si="14"/>
        <v>59.801022936572892</v>
      </c>
      <c r="J58">
        <f t="shared" si="15"/>
        <v>3.8348382066578416E-3</v>
      </c>
      <c r="K58" s="4">
        <f t="shared" si="16"/>
        <v>6.7220083244232589E-3</v>
      </c>
      <c r="L58">
        <f t="shared" si="5"/>
        <v>3.9628275247652414</v>
      </c>
      <c r="M58">
        <f t="shared" si="6"/>
        <v>-2.9628275247655096</v>
      </c>
      <c r="N58">
        <f t="shared" si="11"/>
        <v>0.99999999999973177</v>
      </c>
      <c r="O58" t="str">
        <f t="shared" si="7"/>
        <v>Q2004-1</v>
      </c>
      <c r="P58">
        <f t="shared" si="8"/>
        <v>2.663815960972557E-2</v>
      </c>
      <c r="Q58">
        <f t="shared" si="9"/>
        <v>-1.9916151285304114E-2</v>
      </c>
      <c r="R58">
        <f t="shared" si="10"/>
        <v>6.7220083244232676E-3</v>
      </c>
    </row>
    <row r="59" spans="1:18" x14ac:dyDescent="0.35">
      <c r="A59" s="1">
        <v>2004</v>
      </c>
      <c r="B59" s="1">
        <v>2</v>
      </c>
      <c r="C59" s="2">
        <v>67386.9010633258</v>
      </c>
      <c r="D59" s="2">
        <v>59415.300626250348</v>
      </c>
      <c r="E59" s="3">
        <v>95.124758705447306</v>
      </c>
      <c r="F59" s="2">
        <v>126802.201689576</v>
      </c>
      <c r="G59">
        <f t="shared" si="12"/>
        <v>1333.0094437581442</v>
      </c>
      <c r="H59">
        <f t="shared" si="13"/>
        <v>44.572302847863703</v>
      </c>
      <c r="I59">
        <f t="shared" si="14"/>
        <v>50.552455857583709</v>
      </c>
      <c r="J59">
        <f t="shared" si="15"/>
        <v>1.2538932809195096E-5</v>
      </c>
      <c r="K59" s="4">
        <f t="shared" si="16"/>
        <v>3.8333261181809184E-3</v>
      </c>
      <c r="L59">
        <f t="shared" si="5"/>
        <v>5.8559172935577211</v>
      </c>
      <c r="M59">
        <f t="shared" si="6"/>
        <v>-4.8559172935567041</v>
      </c>
      <c r="N59">
        <f t="shared" si="11"/>
        <v>1.000000000001017</v>
      </c>
      <c r="O59" t="str">
        <f t="shared" si="7"/>
        <v>Q2004-2</v>
      </c>
      <c r="P59">
        <f t="shared" si="8"/>
        <v>2.2447640707302128E-2</v>
      </c>
      <c r="Q59">
        <f t="shared" si="9"/>
        <v>-1.861431458911731E-2</v>
      </c>
      <c r="R59">
        <f t="shared" si="10"/>
        <v>3.8333261181808798E-3</v>
      </c>
    </row>
    <row r="60" spans="1:18" x14ac:dyDescent="0.35">
      <c r="A60" s="1">
        <v>2004</v>
      </c>
      <c r="B60" s="1">
        <v>3</v>
      </c>
      <c r="C60" s="2">
        <v>67391.831682719407</v>
      </c>
      <c r="D60" s="2">
        <v>58586.553396990887</v>
      </c>
      <c r="E60" s="3">
        <v>94.839678569198</v>
      </c>
      <c r="F60" s="2">
        <v>125978.38507971</v>
      </c>
      <c r="G60">
        <f t="shared" si="12"/>
        <v>1328.329945654468</v>
      </c>
      <c r="H60">
        <f t="shared" si="13"/>
        <v>44.105422443160613</v>
      </c>
      <c r="I60">
        <f t="shared" si="14"/>
        <v>50.734256126037614</v>
      </c>
      <c r="J60">
        <f t="shared" si="15"/>
        <v>-2.9969078516356939E-3</v>
      </c>
      <c r="K60" s="4">
        <f t="shared" si="16"/>
        <v>8.2097739050536586E-4</v>
      </c>
      <c r="L60">
        <f t="shared" si="5"/>
        <v>8.2308118434459203</v>
      </c>
      <c r="M60">
        <f t="shared" si="6"/>
        <v>-7.2308118434418098</v>
      </c>
      <c r="N60">
        <f t="shared" si="11"/>
        <v>1.0000000000041105</v>
      </c>
      <c r="O60" t="str">
        <f t="shared" si="7"/>
        <v>Q2004-3</v>
      </c>
      <c r="P60">
        <f t="shared" si="8"/>
        <v>6.7573104289728918E-3</v>
      </c>
      <c r="Q60">
        <f t="shared" si="9"/>
        <v>-5.9363330384641514E-3</v>
      </c>
      <c r="R60">
        <f t="shared" si="10"/>
        <v>8.2097739050546181E-4</v>
      </c>
    </row>
    <row r="61" spans="1:18" x14ac:dyDescent="0.35">
      <c r="A61" s="1">
        <v>2004</v>
      </c>
      <c r="B61" s="1">
        <v>4</v>
      </c>
      <c r="C61" s="2">
        <v>70321.346088313905</v>
      </c>
      <c r="D61" s="2">
        <v>60597.573020105658</v>
      </c>
      <c r="E61" s="3">
        <v>95.316522339302495</v>
      </c>
      <c r="F61" s="2">
        <v>130918.91910842</v>
      </c>
      <c r="G61">
        <f t="shared" si="12"/>
        <v>1373.5175801146213</v>
      </c>
      <c r="H61">
        <f t="shared" si="13"/>
        <v>44.118527419975749</v>
      </c>
      <c r="I61">
        <f t="shared" si="14"/>
        <v>51.197994919326426</v>
      </c>
      <c r="J61">
        <f t="shared" si="15"/>
        <v>5.0278931487159608E-3</v>
      </c>
      <c r="K61" s="4">
        <f t="shared" si="16"/>
        <v>5.8710984794205093E-3</v>
      </c>
      <c r="L61">
        <f t="shared" si="5"/>
        <v>-0.13928019912462761</v>
      </c>
      <c r="M61">
        <f t="shared" si="6"/>
        <v>1.1392801991237591</v>
      </c>
      <c r="N61">
        <f t="shared" si="11"/>
        <v>0.99999999999913147</v>
      </c>
      <c r="O61" t="str">
        <f t="shared" si="7"/>
        <v>Q2004-4</v>
      </c>
      <c r="P61">
        <f t="shared" si="8"/>
        <v>-8.177277652939869E-4</v>
      </c>
      <c r="Q61">
        <f t="shared" si="9"/>
        <v>6.688826244709397E-3</v>
      </c>
      <c r="R61">
        <f t="shared" si="10"/>
        <v>5.8710984794205778E-3</v>
      </c>
    </row>
    <row r="62" spans="1:18" x14ac:dyDescent="0.35">
      <c r="A62" s="1">
        <v>2005</v>
      </c>
      <c r="B62" s="1">
        <v>1</v>
      </c>
      <c r="C62" s="2">
        <v>79972.010383565605</v>
      </c>
      <c r="D62" s="2">
        <v>47749.078999918289</v>
      </c>
      <c r="E62" s="3">
        <v>95.651293285090802</v>
      </c>
      <c r="F62" s="2">
        <v>127721.089383484</v>
      </c>
      <c r="G62">
        <f t="shared" si="12"/>
        <v>1335.2782277894398</v>
      </c>
      <c r="H62">
        <f t="shared" si="13"/>
        <v>35.759647694523665</v>
      </c>
      <c r="I62">
        <f t="shared" si="14"/>
        <v>59.891645590567059</v>
      </c>
      <c r="J62">
        <f t="shared" si="15"/>
        <v>3.5122026860842435E-3</v>
      </c>
      <c r="K62" s="4">
        <f t="shared" si="16"/>
        <v>5.547808498702551E-3</v>
      </c>
      <c r="L62">
        <f t="shared" si="5"/>
        <v>0.82827750384139109</v>
      </c>
      <c r="M62">
        <f t="shared" si="6"/>
        <v>0.17172249615813764</v>
      </c>
      <c r="N62">
        <f t="shared" si="11"/>
        <v>0.99999999999952871</v>
      </c>
      <c r="O62" t="str">
        <f t="shared" si="7"/>
        <v>Q2005-1</v>
      </c>
      <c r="P62">
        <f t="shared" si="8"/>
        <v>4.5951249750954045E-3</v>
      </c>
      <c r="Q62">
        <f t="shared" si="9"/>
        <v>9.526835236045322E-4</v>
      </c>
      <c r="R62">
        <f t="shared" si="10"/>
        <v>5.5478084987026222E-3</v>
      </c>
    </row>
    <row r="63" spans="1:18" x14ac:dyDescent="0.35">
      <c r="A63" s="1">
        <v>2005</v>
      </c>
      <c r="B63" s="1">
        <v>2</v>
      </c>
      <c r="C63" s="2">
        <v>70666.498002944296</v>
      </c>
      <c r="D63" s="2">
        <v>60408.922887954621</v>
      </c>
      <c r="E63" s="3">
        <v>95.693605541713495</v>
      </c>
      <c r="F63" s="2">
        <v>131075.420890899</v>
      </c>
      <c r="G63">
        <f t="shared" si="12"/>
        <v>1369.7406440993836</v>
      </c>
      <c r="H63">
        <f t="shared" si="13"/>
        <v>44.102453371874653</v>
      </c>
      <c r="I63">
        <f t="shared" si="14"/>
        <v>51.591152169838786</v>
      </c>
      <c r="J63">
        <f t="shared" si="15"/>
        <v>4.4235948275765647E-4</v>
      </c>
      <c r="K63" s="4">
        <f t="shared" si="16"/>
        <v>5.9800081914280264E-3</v>
      </c>
      <c r="L63">
        <f t="shared" si="5"/>
        <v>-0.82596833810847958</v>
      </c>
      <c r="M63">
        <f t="shared" si="6"/>
        <v>1.8259683381081921</v>
      </c>
      <c r="N63">
        <f t="shared" si="11"/>
        <v>0.99999999999971256</v>
      </c>
      <c r="O63" t="str">
        <f t="shared" si="7"/>
        <v>Q2005-2</v>
      </c>
      <c r="P63">
        <f t="shared" si="8"/>
        <v>-4.9392974277489019E-3</v>
      </c>
      <c r="Q63">
        <f t="shared" si="9"/>
        <v>1.0919305619175208E-2</v>
      </c>
      <c r="R63">
        <f t="shared" si="10"/>
        <v>5.9800081914280767E-3</v>
      </c>
    </row>
    <row r="64" spans="1:18" x14ac:dyDescent="0.35">
      <c r="A64" s="1">
        <v>2005</v>
      </c>
      <c r="B64" s="1">
        <v>3</v>
      </c>
      <c r="C64" s="2">
        <v>68987.988679467002</v>
      </c>
      <c r="D64" s="2">
        <v>63144.252371685288</v>
      </c>
      <c r="E64" s="3">
        <v>96.163217902960099</v>
      </c>
      <c r="F64" s="2">
        <v>132132.241051152</v>
      </c>
      <c r="G64">
        <f t="shared" si="12"/>
        <v>1374.041384352267</v>
      </c>
      <c r="H64">
        <f t="shared" si="13"/>
        <v>45.955131403448917</v>
      </c>
      <c r="I64">
        <f t="shared" si="14"/>
        <v>50.208086499511396</v>
      </c>
      <c r="J64">
        <f t="shared" si="15"/>
        <v>4.907458116852924E-3</v>
      </c>
      <c r="K64" s="4">
        <f t="shared" si="16"/>
        <v>1.3955544279880739E-2</v>
      </c>
      <c r="L64">
        <f t="shared" si="5"/>
        <v>1.3975474042245437</v>
      </c>
      <c r="M64">
        <f t="shared" si="6"/>
        <v>-0.39754740422455453</v>
      </c>
      <c r="N64">
        <f t="shared" si="11"/>
        <v>0.99999999999998912</v>
      </c>
      <c r="O64" t="str">
        <f t="shared" si="7"/>
        <v>Q2005-3</v>
      </c>
      <c r="P64">
        <f t="shared" si="8"/>
        <v>1.9503534682888006E-2</v>
      </c>
      <c r="Q64">
        <f t="shared" si="9"/>
        <v>-5.5479904030074174E-3</v>
      </c>
      <c r="R64">
        <f t="shared" si="10"/>
        <v>1.3955544279880661E-2</v>
      </c>
    </row>
    <row r="65" spans="1:18" x14ac:dyDescent="0.35">
      <c r="A65" s="1">
        <v>2005</v>
      </c>
      <c r="B65" s="1">
        <v>4</v>
      </c>
      <c r="C65" s="2">
        <v>72642.678105511193</v>
      </c>
      <c r="D65" s="2">
        <v>65029.727670470995</v>
      </c>
      <c r="E65" s="3">
        <v>96.491215850236898</v>
      </c>
      <c r="F65" s="2">
        <v>137672.40577598201</v>
      </c>
      <c r="G65">
        <f t="shared" si="12"/>
        <v>1426.7869314618447</v>
      </c>
      <c r="H65">
        <f t="shared" si="13"/>
        <v>45.577742714424367</v>
      </c>
      <c r="I65">
        <f t="shared" si="14"/>
        <v>50.913473135812652</v>
      </c>
      <c r="J65">
        <f t="shared" si="15"/>
        <v>3.4108462094913179E-3</v>
      </c>
      <c r="K65" s="4">
        <f t="shared" si="16"/>
        <v>1.2324133131429141E-2</v>
      </c>
      <c r="L65">
        <f t="shared" si="5"/>
        <v>1.2422093770552063</v>
      </c>
      <c r="M65">
        <f t="shared" si="6"/>
        <v>-0.24220937705483128</v>
      </c>
      <c r="N65">
        <f t="shared" si="11"/>
        <v>1.000000000000375</v>
      </c>
      <c r="O65" t="str">
        <f t="shared" si="7"/>
        <v>Q2005-4</v>
      </c>
      <c r="P65">
        <f t="shared" si="8"/>
        <v>1.5309153739938023E-2</v>
      </c>
      <c r="Q65">
        <f t="shared" si="9"/>
        <v>-2.9850206085042593E-3</v>
      </c>
      <c r="R65">
        <f t="shared" si="10"/>
        <v>1.2324133131429216E-2</v>
      </c>
    </row>
    <row r="66" spans="1:18" x14ac:dyDescent="0.35">
      <c r="A66" s="1">
        <v>2006</v>
      </c>
      <c r="B66" s="1">
        <v>1</v>
      </c>
      <c r="C66" s="2">
        <v>84500.501275563394</v>
      </c>
      <c r="D66" s="2">
        <v>51990.370986096634</v>
      </c>
      <c r="E66" s="3">
        <v>97.601995808196506</v>
      </c>
      <c r="F66" s="2">
        <v>136490.87226166</v>
      </c>
      <c r="G66">
        <f t="shared" ref="G66:G97" si="17">F66/(E66)</f>
        <v>1398.4434552945652</v>
      </c>
      <c r="H66">
        <f t="shared" ref="H66:H97" si="18">D66/G66</f>
        <v>37.177313669179057</v>
      </c>
      <c r="I66">
        <f t="shared" ref="I66:I97" si="19">C66/G66</f>
        <v>60.424682139017477</v>
      </c>
      <c r="J66">
        <f t="shared" si="15"/>
        <v>1.1511721022187539E-2</v>
      </c>
      <c r="K66" s="4">
        <f t="shared" si="16"/>
        <v>2.0393895953832973E-2</v>
      </c>
      <c r="L66">
        <f t="shared" si="5"/>
        <v>0.72674636848181906</v>
      </c>
      <c r="M66">
        <f t="shared" si="6"/>
        <v>0.27325363151823556</v>
      </c>
      <c r="N66">
        <f t="shared" si="11"/>
        <v>1.0000000000000546</v>
      </c>
      <c r="O66" t="str">
        <f t="shared" si="7"/>
        <v>Q2006-1</v>
      </c>
      <c r="P66">
        <f t="shared" si="8"/>
        <v>1.4821189823644177E-2</v>
      </c>
      <c r="Q66">
        <f t="shared" si="9"/>
        <v>5.5727061301899103E-3</v>
      </c>
      <c r="R66">
        <f t="shared" si="10"/>
        <v>2.0393895953833008E-2</v>
      </c>
    </row>
    <row r="67" spans="1:18" x14ac:dyDescent="0.35">
      <c r="A67" s="1">
        <v>2006</v>
      </c>
      <c r="B67" s="1">
        <v>2</v>
      </c>
      <c r="C67" s="2">
        <v>72443.973241362895</v>
      </c>
      <c r="D67" s="2">
        <v>66628.733373284093</v>
      </c>
      <c r="E67" s="3">
        <v>97.843400352395705</v>
      </c>
      <c r="F67" s="2">
        <v>139072.706614647</v>
      </c>
      <c r="G67">
        <f t="shared" si="17"/>
        <v>1421.3805541687902</v>
      </c>
      <c r="H67">
        <f t="shared" si="18"/>
        <v>46.876069310127811</v>
      </c>
      <c r="I67">
        <f t="shared" si="19"/>
        <v>50.967331042267872</v>
      </c>
      <c r="J67">
        <f t="shared" ref="J67:J98" si="20">(E67-E66)/E66</f>
        <v>2.4733566378457796E-3</v>
      </c>
      <c r="K67" s="4">
        <f t="shared" si="16"/>
        <v>2.2465396705583417E-2</v>
      </c>
      <c r="L67">
        <f t="shared" si="5"/>
        <v>1.2901770552571887</v>
      </c>
      <c r="M67">
        <f t="shared" si="6"/>
        <v>-0.29017705525717213</v>
      </c>
      <c r="N67">
        <f t="shared" si="11"/>
        <v>1.0000000000000167</v>
      </c>
      <c r="O67" t="str">
        <f t="shared" si="7"/>
        <v>Q2006-2</v>
      </c>
      <c r="P67">
        <f t="shared" si="8"/>
        <v>2.8984339366794162E-2</v>
      </c>
      <c r="Q67">
        <f t="shared" si="9"/>
        <v>-6.5189426612103718E-3</v>
      </c>
      <c r="R67">
        <f t="shared" si="10"/>
        <v>2.2465396705583451E-2</v>
      </c>
    </row>
    <row r="68" spans="1:18" x14ac:dyDescent="0.35">
      <c r="A68" s="1">
        <v>2006</v>
      </c>
      <c r="B68" s="1">
        <v>3</v>
      </c>
      <c r="C68" s="2">
        <v>71666.066031131995</v>
      </c>
      <c r="D68" s="2">
        <v>68646.765486553806</v>
      </c>
      <c r="E68" s="3">
        <v>98.244142183035606</v>
      </c>
      <c r="F68" s="2">
        <v>140312.83151768599</v>
      </c>
      <c r="G68">
        <f t="shared" si="17"/>
        <v>1428.2055743972351</v>
      </c>
      <c r="H68">
        <f t="shared" si="18"/>
        <v>48.065045198780808</v>
      </c>
      <c r="I68">
        <f t="shared" si="19"/>
        <v>50.179096984254663</v>
      </c>
      <c r="J68">
        <f t="shared" si="20"/>
        <v>4.0957471755537732E-3</v>
      </c>
      <c r="K68" s="4">
        <f t="shared" si="16"/>
        <v>2.1639503392819098E-2</v>
      </c>
      <c r="L68">
        <f t="shared" si="5"/>
        <v>1.0139310764615292</v>
      </c>
      <c r="M68">
        <f t="shared" si="6"/>
        <v>-1.3931076461696458E-2</v>
      </c>
      <c r="N68">
        <f t="shared" si="11"/>
        <v>0.9999999999998328</v>
      </c>
      <c r="O68" t="str">
        <f t="shared" si="7"/>
        <v>Q2006-3</v>
      </c>
      <c r="P68">
        <f t="shared" si="8"/>
        <v>2.1940964969173981E-2</v>
      </c>
      <c r="Q68">
        <f t="shared" si="9"/>
        <v>-3.0146157635850275E-4</v>
      </c>
      <c r="R68">
        <f t="shared" si="10"/>
        <v>2.163950339281917E-2</v>
      </c>
    </row>
    <row r="69" spans="1:18" x14ac:dyDescent="0.35">
      <c r="A69" s="1">
        <v>2006</v>
      </c>
      <c r="B69" s="1">
        <v>4</v>
      </c>
      <c r="C69" s="2">
        <v>74996.904513291694</v>
      </c>
      <c r="D69" s="2">
        <v>71286.323543643055</v>
      </c>
      <c r="E69" s="3">
        <v>98.477575694768703</v>
      </c>
      <c r="F69" s="2">
        <v>146283.22805693501</v>
      </c>
      <c r="G69">
        <f t="shared" si="17"/>
        <v>1485.4470880796248</v>
      </c>
      <c r="H69">
        <f t="shared" si="18"/>
        <v>47.989810014573791</v>
      </c>
      <c r="I69">
        <f t="shared" si="19"/>
        <v>50.487765680194741</v>
      </c>
      <c r="J69">
        <f t="shared" si="20"/>
        <v>2.3760552695161596E-3</v>
      </c>
      <c r="K69" s="4">
        <f t="shared" si="16"/>
        <v>2.0585913723118746E-2</v>
      </c>
      <c r="L69">
        <f t="shared" si="5"/>
        <v>1.2143153753281599</v>
      </c>
      <c r="M69">
        <f t="shared" si="6"/>
        <v>-0.21431537532830666</v>
      </c>
      <c r="N69">
        <f t="shared" si="11"/>
        <v>0.99999999999985323</v>
      </c>
      <c r="O69" t="str">
        <f t="shared" si="7"/>
        <v>Q2006-4</v>
      </c>
      <c r="P69">
        <f t="shared" si="8"/>
        <v>2.4997791549162058E-2</v>
      </c>
      <c r="Q69">
        <f t="shared" si="9"/>
        <v>-4.4118778260463327E-3</v>
      </c>
      <c r="R69">
        <f t="shared" si="10"/>
        <v>2.0585913723118798E-2</v>
      </c>
    </row>
    <row r="70" spans="1:18" x14ac:dyDescent="0.35">
      <c r="A70" s="1">
        <v>2007</v>
      </c>
      <c r="B70" s="1">
        <v>1</v>
      </c>
      <c r="C70" s="2">
        <v>89462.725448850993</v>
      </c>
      <c r="D70" s="2">
        <v>55445.661433643218</v>
      </c>
      <c r="E70" s="3">
        <v>100.051926175047</v>
      </c>
      <c r="F70" s="2">
        <v>144908.386882494</v>
      </c>
      <c r="G70">
        <f t="shared" si="17"/>
        <v>1448.3318055163461</v>
      </c>
      <c r="H70">
        <f t="shared" si="18"/>
        <v>38.282430326023416</v>
      </c>
      <c r="I70">
        <f t="shared" si="19"/>
        <v>61.769495849023734</v>
      </c>
      <c r="J70">
        <f t="shared" si="20"/>
        <v>1.5986893149746072E-2</v>
      </c>
      <c r="K70" s="4">
        <f t="shared" ref="K70:K101" si="21">(E70-E66)/E66</f>
        <v>2.5101232270546999E-2</v>
      </c>
      <c r="L70">
        <f t="shared" si="5"/>
        <v>0.45108084368334128</v>
      </c>
      <c r="M70">
        <f t="shared" si="6"/>
        <v>0.54891915631670807</v>
      </c>
      <c r="N70">
        <f t="shared" si="11"/>
        <v>1.0000000000000493</v>
      </c>
      <c r="O70" t="str">
        <f t="shared" si="7"/>
        <v>Q2007-1</v>
      </c>
      <c r="P70">
        <f t="shared" si="8"/>
        <v>1.1322685030089853E-2</v>
      </c>
      <c r="Q70">
        <f t="shared" si="9"/>
        <v>1.3778547240458384E-2</v>
      </c>
      <c r="R70">
        <f t="shared" si="10"/>
        <v>2.5101232270547058E-2</v>
      </c>
    </row>
    <row r="71" spans="1:18" x14ac:dyDescent="0.35">
      <c r="A71" s="1">
        <v>2007</v>
      </c>
      <c r="B71" s="1">
        <v>2</v>
      </c>
      <c r="C71" s="2">
        <v>77321.126456503494</v>
      </c>
      <c r="D71" s="2">
        <v>71458.257233819648</v>
      </c>
      <c r="E71" s="3">
        <v>100.261799716078</v>
      </c>
      <c r="F71" s="2">
        <v>148779.38369032301</v>
      </c>
      <c r="G71">
        <f t="shared" si="17"/>
        <v>1483.9089674396171</v>
      </c>
      <c r="H71">
        <f t="shared" si="18"/>
        <v>48.155418426452371</v>
      </c>
      <c r="I71">
        <f t="shared" si="19"/>
        <v>52.106381289625723</v>
      </c>
      <c r="J71">
        <f t="shared" si="20"/>
        <v>2.0976461828812235E-3</v>
      </c>
      <c r="K71" s="4">
        <f t="shared" si="21"/>
        <v>2.4717041261568162E-2</v>
      </c>
      <c r="L71">
        <f t="shared" ref="L71:L134" si="22">(H71-H67)/(E71-E67)</f>
        <v>0.52900655513595607</v>
      </c>
      <c r="M71">
        <f t="shared" ref="M71:M134" si="23">(I71-I67)/(E71-E67)</f>
        <v>0.47099344486409089</v>
      </c>
      <c r="N71">
        <f t="shared" ref="N71:N134" si="24">M71+L71</f>
        <v>1.0000000000000471</v>
      </c>
      <c r="O71" t="str">
        <f t="shared" ref="O71:O134" si="25">"Q"&amp;A71&amp;"-"&amp;B71</f>
        <v>Q2007-2</v>
      </c>
      <c r="P71">
        <f t="shared" ref="P71:P134" si="26">L71*K71</f>
        <v>1.3075476850935458E-2</v>
      </c>
      <c r="Q71">
        <f t="shared" ref="Q71:Q134" si="27">M71*K71</f>
        <v>1.1641564410633864E-2</v>
      </c>
      <c r="R71">
        <f t="shared" ref="R71:R134" si="28">E71/E67-1</f>
        <v>2.4717041261568262E-2</v>
      </c>
    </row>
    <row r="72" spans="1:18" x14ac:dyDescent="0.35">
      <c r="A72" s="1">
        <v>2007</v>
      </c>
      <c r="B72" s="1">
        <v>3</v>
      </c>
      <c r="C72" s="2">
        <v>75121.154559320901</v>
      </c>
      <c r="D72" s="2">
        <v>74980.050679020322</v>
      </c>
      <c r="E72" s="3">
        <v>100.608589393369</v>
      </c>
      <c r="F72" s="2">
        <v>150101.205238341</v>
      </c>
      <c r="G72">
        <f t="shared" si="17"/>
        <v>1491.9323105849451</v>
      </c>
      <c r="H72">
        <f t="shared" si="18"/>
        <v>50.257005728110236</v>
      </c>
      <c r="I72">
        <f t="shared" si="19"/>
        <v>50.351583665258907</v>
      </c>
      <c r="J72">
        <f t="shared" si="20"/>
        <v>3.4588415355902321E-3</v>
      </c>
      <c r="K72" s="4">
        <f t="shared" si="21"/>
        <v>2.4067055376474938E-2</v>
      </c>
      <c r="L72">
        <f t="shared" si="22"/>
        <v>0.92704989130222704</v>
      </c>
      <c r="M72">
        <f t="shared" si="23"/>
        <v>7.295010869789012E-2</v>
      </c>
      <c r="N72">
        <f t="shared" si="24"/>
        <v>1.0000000000001172</v>
      </c>
      <c r="O72" t="str">
        <f t="shared" si="25"/>
        <v>Q2007-3</v>
      </c>
      <c r="P72">
        <f t="shared" si="26"/>
        <v>2.2311361070725771E-2</v>
      </c>
      <c r="Q72">
        <f t="shared" si="27"/>
        <v>1.7556943057519877E-3</v>
      </c>
      <c r="R72">
        <f t="shared" si="28"/>
        <v>2.4067055376475022E-2</v>
      </c>
    </row>
    <row r="73" spans="1:18" x14ac:dyDescent="0.35">
      <c r="A73" s="1">
        <v>2007</v>
      </c>
      <c r="B73" s="1">
        <v>4</v>
      </c>
      <c r="C73" s="2">
        <v>78247.424072999696</v>
      </c>
      <c r="D73" s="2">
        <v>76955.81228231288</v>
      </c>
      <c r="E73" s="3">
        <v>100.933438695425</v>
      </c>
      <c r="F73" s="2">
        <v>155203.23635531301</v>
      </c>
      <c r="G73">
        <f t="shared" si="17"/>
        <v>1537.6790720828567</v>
      </c>
      <c r="H73">
        <f t="shared" si="18"/>
        <v>50.046731908806372</v>
      </c>
      <c r="I73">
        <f t="shared" si="19"/>
        <v>50.88670678661834</v>
      </c>
      <c r="J73">
        <f t="shared" si="20"/>
        <v>3.2288426268046381E-3</v>
      </c>
      <c r="K73" s="4">
        <f t="shared" si="21"/>
        <v>2.4938296696785493E-2</v>
      </c>
      <c r="L73">
        <f t="shared" si="22"/>
        <v>0.83755563469252892</v>
      </c>
      <c r="M73">
        <f t="shared" si="23"/>
        <v>0.16244436530742484</v>
      </c>
      <c r="N73">
        <f t="shared" si="24"/>
        <v>0.99999999999995381</v>
      </c>
      <c r="O73" t="str">
        <f t="shared" si="25"/>
        <v>Q2007-4</v>
      </c>
      <c r="P73">
        <f t="shared" si="26"/>
        <v>2.0887210918026769E-2</v>
      </c>
      <c r="Q73">
        <f t="shared" si="27"/>
        <v>4.0510857787575691E-3</v>
      </c>
      <c r="R73">
        <f t="shared" si="28"/>
        <v>2.4938296696785489E-2</v>
      </c>
    </row>
    <row r="74" spans="1:18" x14ac:dyDescent="0.35">
      <c r="A74" s="1">
        <v>2008</v>
      </c>
      <c r="B74" s="1">
        <v>1</v>
      </c>
      <c r="C74" s="2">
        <v>95013.6269591624</v>
      </c>
      <c r="D74" s="2">
        <v>57265.367397603659</v>
      </c>
      <c r="E74" s="3">
        <v>101.89429877354</v>
      </c>
      <c r="F74" s="2">
        <v>152278.99435676599</v>
      </c>
      <c r="G74">
        <f t="shared" si="17"/>
        <v>1494.4800267501319</v>
      </c>
      <c r="H74">
        <f t="shared" si="18"/>
        <v>38.317920863841756</v>
      </c>
      <c r="I74">
        <f t="shared" si="19"/>
        <v>63.576377909698294</v>
      </c>
      <c r="J74">
        <f t="shared" si="20"/>
        <v>9.5197398457262453E-3</v>
      </c>
      <c r="K74" s="4">
        <f t="shared" si="21"/>
        <v>1.8414164213786909E-2</v>
      </c>
      <c r="L74">
        <f t="shared" si="22"/>
        <v>1.9263496345619999E-2</v>
      </c>
      <c r="M74">
        <f t="shared" si="23"/>
        <v>0.98073650365432596</v>
      </c>
      <c r="N74">
        <f t="shared" si="24"/>
        <v>0.99999999999994593</v>
      </c>
      <c r="O74" t="str">
        <f t="shared" si="25"/>
        <v>Q2008-1</v>
      </c>
      <c r="P74">
        <f t="shared" si="26"/>
        <v>3.5472118503993071E-4</v>
      </c>
      <c r="Q74">
        <f t="shared" si="27"/>
        <v>1.8059443028745983E-2</v>
      </c>
      <c r="R74">
        <f t="shared" si="28"/>
        <v>1.8414164213786943E-2</v>
      </c>
    </row>
    <row r="75" spans="1:18" x14ac:dyDescent="0.35">
      <c r="A75" s="1">
        <v>2008</v>
      </c>
      <c r="B75" s="1">
        <v>2</v>
      </c>
      <c r="C75" s="2">
        <v>81001.572662151593</v>
      </c>
      <c r="D75" s="2">
        <v>75631.993736718985</v>
      </c>
      <c r="E75" s="3">
        <v>101.923151540853</v>
      </c>
      <c r="F75" s="2">
        <v>156633.56639887099</v>
      </c>
      <c r="G75">
        <f t="shared" si="17"/>
        <v>1536.7810358188235</v>
      </c>
      <c r="H75">
        <f t="shared" si="18"/>
        <v>49.214554301433679</v>
      </c>
      <c r="I75">
        <f t="shared" si="19"/>
        <v>52.708597239419049</v>
      </c>
      <c r="J75">
        <f t="shared" si="20"/>
        <v>2.831637065104392E-4</v>
      </c>
      <c r="K75" s="4">
        <f t="shared" si="21"/>
        <v>1.6570137674364743E-2</v>
      </c>
      <c r="L75">
        <f t="shared" si="22"/>
        <v>0.63751449824587947</v>
      </c>
      <c r="M75">
        <f t="shared" si="23"/>
        <v>0.36248550175390237</v>
      </c>
      <c r="N75">
        <f t="shared" si="24"/>
        <v>0.99999999999978184</v>
      </c>
      <c r="O75" t="str">
        <f t="shared" si="25"/>
        <v>Q2008-2</v>
      </c>
      <c r="P75">
        <f t="shared" si="26"/>
        <v>1.0563703005337783E-2</v>
      </c>
      <c r="Q75">
        <f t="shared" si="27"/>
        <v>6.0064346690233451E-3</v>
      </c>
      <c r="R75">
        <f t="shared" si="28"/>
        <v>1.6570137674364771E-2</v>
      </c>
    </row>
    <row r="76" spans="1:18" x14ac:dyDescent="0.35">
      <c r="A76" s="1">
        <v>2008</v>
      </c>
      <c r="B76" s="1">
        <v>3</v>
      </c>
      <c r="C76" s="2">
        <v>77195.216304766203</v>
      </c>
      <c r="D76" s="2">
        <v>79464.395879182935</v>
      </c>
      <c r="E76" s="3">
        <v>101.69094519481899</v>
      </c>
      <c r="F76" s="2">
        <v>156659.61218394901</v>
      </c>
      <c r="G76">
        <f t="shared" si="17"/>
        <v>1540.5463277366664</v>
      </c>
      <c r="H76">
        <f t="shared" si="18"/>
        <v>51.58195793821411</v>
      </c>
      <c r="I76">
        <f t="shared" si="19"/>
        <v>50.108987256604969</v>
      </c>
      <c r="J76">
        <f t="shared" si="20"/>
        <v>-2.278249274316556E-3</v>
      </c>
      <c r="K76" s="4">
        <f t="shared" si="21"/>
        <v>1.0758085447536642E-2</v>
      </c>
      <c r="L76">
        <f t="shared" si="22"/>
        <v>1.2241373939409608</v>
      </c>
      <c r="M76">
        <f t="shared" si="23"/>
        <v>-0.22413739394101326</v>
      </c>
      <c r="N76">
        <f t="shared" si="24"/>
        <v>0.99999999999994749</v>
      </c>
      <c r="O76" t="str">
        <f t="shared" si="25"/>
        <v>Q2008-3</v>
      </c>
      <c r="P76">
        <f t="shared" si="26"/>
        <v>1.3169374683541679E-2</v>
      </c>
      <c r="Q76">
        <f t="shared" si="27"/>
        <v>-2.4112892360056023E-3</v>
      </c>
      <c r="R76">
        <f t="shared" si="28"/>
        <v>1.0758085447536647E-2</v>
      </c>
    </row>
    <row r="77" spans="1:18" x14ac:dyDescent="0.35">
      <c r="A77" s="1">
        <v>2008</v>
      </c>
      <c r="B77" s="1">
        <v>4</v>
      </c>
      <c r="C77" s="2">
        <v>82662.506766411898</v>
      </c>
      <c r="D77" s="2">
        <v>74227.163688657602</v>
      </c>
      <c r="E77" s="3">
        <v>101.81196417960101</v>
      </c>
      <c r="F77" s="2">
        <v>156889.67045506899</v>
      </c>
      <c r="G77">
        <f t="shared" si="17"/>
        <v>1540.9747932797798</v>
      </c>
      <c r="H77">
        <f t="shared" si="18"/>
        <v>48.168966820459147</v>
      </c>
      <c r="I77">
        <f t="shared" si="19"/>
        <v>53.642997359142186</v>
      </c>
      <c r="J77">
        <f t="shared" si="20"/>
        <v>1.1900664759302241E-3</v>
      </c>
      <c r="K77" s="4">
        <f t="shared" si="21"/>
        <v>8.7040082606026394E-3</v>
      </c>
      <c r="L77">
        <f t="shared" si="22"/>
        <v>-2.1374053708964706</v>
      </c>
      <c r="M77">
        <f t="shared" si="23"/>
        <v>3.1374053708971665</v>
      </c>
      <c r="N77">
        <f t="shared" si="24"/>
        <v>1.0000000000006959</v>
      </c>
      <c r="O77" t="str">
        <f t="shared" si="25"/>
        <v>Q2008-4</v>
      </c>
      <c r="P77">
        <f t="shared" si="26"/>
        <v>-1.8603994004539329E-2</v>
      </c>
      <c r="Q77">
        <f t="shared" si="27"/>
        <v>2.7308002265148026E-2</v>
      </c>
      <c r="R77">
        <f t="shared" si="28"/>
        <v>8.7040082606026914E-3</v>
      </c>
    </row>
    <row r="78" spans="1:18" x14ac:dyDescent="0.35">
      <c r="A78" s="1">
        <v>2009</v>
      </c>
      <c r="B78" s="1">
        <v>1</v>
      </c>
      <c r="C78" s="2">
        <v>94688.547352466194</v>
      </c>
      <c r="D78" s="2">
        <v>55307.273128925801</v>
      </c>
      <c r="E78" s="3">
        <v>102.49647457301</v>
      </c>
      <c r="F78" s="2">
        <v>149995.820481392</v>
      </c>
      <c r="G78">
        <f t="shared" si="17"/>
        <v>1463.4241919662065</v>
      </c>
      <c r="H78">
        <f t="shared" si="18"/>
        <v>37.793056471628262</v>
      </c>
      <c r="I78">
        <f t="shared" si="19"/>
        <v>64.703418101381743</v>
      </c>
      <c r="J78">
        <f t="shared" si="20"/>
        <v>6.7232804997405917E-3</v>
      </c>
      <c r="K78" s="4">
        <f t="shared" si="21"/>
        <v>5.9098085635619236E-3</v>
      </c>
      <c r="L78">
        <f t="shared" si="22"/>
        <v>-0.87161322769105998</v>
      </c>
      <c r="M78">
        <f t="shared" si="23"/>
        <v>1.8716132276909774</v>
      </c>
      <c r="N78">
        <f t="shared" si="24"/>
        <v>0.9999999999999174</v>
      </c>
      <c r="O78" t="str">
        <f t="shared" si="25"/>
        <v>Q2009-1</v>
      </c>
      <c r="P78">
        <f t="shared" si="26"/>
        <v>-5.1510673171224746E-3</v>
      </c>
      <c r="Q78">
        <f t="shared" si="27"/>
        <v>1.1060875880683911E-2</v>
      </c>
      <c r="R78">
        <f t="shared" si="28"/>
        <v>5.9098085635618247E-3</v>
      </c>
    </row>
    <row r="79" spans="1:18" x14ac:dyDescent="0.35">
      <c r="A79" s="1">
        <v>2009</v>
      </c>
      <c r="B79" s="1">
        <v>2</v>
      </c>
      <c r="C79" s="2">
        <v>83932.261521027802</v>
      </c>
      <c r="D79" s="2">
        <v>67775.671040869012</v>
      </c>
      <c r="E79" s="3">
        <v>102.10174824828</v>
      </c>
      <c r="F79" s="2">
        <v>151707.932561897</v>
      </c>
      <c r="G79">
        <f t="shared" si="17"/>
        <v>1485.8504889944688</v>
      </c>
      <c r="H79">
        <f t="shared" si="18"/>
        <v>45.614058441866092</v>
      </c>
      <c r="I79">
        <f t="shared" si="19"/>
        <v>56.48768980641379</v>
      </c>
      <c r="J79">
        <f t="shared" si="20"/>
        <v>-3.8511209909842421E-3</v>
      </c>
      <c r="K79" s="4">
        <f t="shared" si="21"/>
        <v>1.7522682994689318E-3</v>
      </c>
      <c r="L79">
        <f t="shared" si="22"/>
        <v>-20.1599229428077</v>
      </c>
      <c r="M79">
        <f t="shared" si="23"/>
        <v>21.159922942808539</v>
      </c>
      <c r="N79">
        <f t="shared" si="24"/>
        <v>1.0000000000008384</v>
      </c>
      <c r="O79" t="str">
        <f t="shared" si="25"/>
        <v>Q2009-2</v>
      </c>
      <c r="P79">
        <f t="shared" si="26"/>
        <v>-3.532559389241835E-2</v>
      </c>
      <c r="Q79">
        <f t="shared" si="27"/>
        <v>3.7077862191888751E-2</v>
      </c>
      <c r="R79">
        <f t="shared" si="28"/>
        <v>1.7522682994688399E-3</v>
      </c>
    </row>
    <row r="80" spans="1:18" x14ac:dyDescent="0.35">
      <c r="A80" s="1">
        <v>2009</v>
      </c>
      <c r="B80" s="1">
        <v>3</v>
      </c>
      <c r="C80" s="2">
        <v>80366.580913399404</v>
      </c>
      <c r="D80" s="2">
        <v>73205.886017678262</v>
      </c>
      <c r="E80" s="3">
        <v>102.30561742406501</v>
      </c>
      <c r="F80" s="2">
        <v>153572.466931078</v>
      </c>
      <c r="G80">
        <f t="shared" si="17"/>
        <v>1501.114707069386</v>
      </c>
      <c r="H80">
        <f t="shared" si="18"/>
        <v>48.767682891201247</v>
      </c>
      <c r="I80">
        <f t="shared" si="19"/>
        <v>53.537934532863531</v>
      </c>
      <c r="J80">
        <f t="shared" si="20"/>
        <v>1.9967256122711504E-3</v>
      </c>
      <c r="K80" s="4">
        <f t="shared" si="21"/>
        <v>6.044512892159919E-3</v>
      </c>
      <c r="L80">
        <f t="shared" si="22"/>
        <v>-4.5784971454867884</v>
      </c>
      <c r="M80">
        <f t="shared" si="23"/>
        <v>5.5784971454862804</v>
      </c>
      <c r="N80">
        <f t="shared" si="24"/>
        <v>0.99999999999949196</v>
      </c>
      <c r="O80" t="str">
        <f t="shared" si="25"/>
        <v>Q2009-3</v>
      </c>
      <c r="P80">
        <f t="shared" si="26"/>
        <v>-2.767478502261228E-2</v>
      </c>
      <c r="Q80">
        <f t="shared" si="27"/>
        <v>3.3719297914769131E-2</v>
      </c>
      <c r="R80">
        <f t="shared" si="28"/>
        <v>6.0445128921600144E-3</v>
      </c>
    </row>
    <row r="81" spans="1:18" x14ac:dyDescent="0.35">
      <c r="A81" s="1">
        <v>2009</v>
      </c>
      <c r="B81" s="1">
        <v>4</v>
      </c>
      <c r="C81" s="2">
        <v>84648.454286333799</v>
      </c>
      <c r="D81" s="2">
        <v>73393.291077014946</v>
      </c>
      <c r="E81" s="3">
        <v>102.35095427559099</v>
      </c>
      <c r="F81" s="2">
        <v>158041.74536334901</v>
      </c>
      <c r="G81">
        <f t="shared" si="17"/>
        <v>1544.115992683415</v>
      </c>
      <c r="H81">
        <f t="shared" si="18"/>
        <v>47.530944193816488</v>
      </c>
      <c r="I81">
        <f t="shared" si="19"/>
        <v>54.820010081774335</v>
      </c>
      <c r="J81">
        <f t="shared" si="20"/>
        <v>4.431511452402786E-4</v>
      </c>
      <c r="K81" s="4">
        <f t="shared" si="21"/>
        <v>5.2939760109055965E-3</v>
      </c>
      <c r="L81">
        <f t="shared" si="22"/>
        <v>-1.1837371992351247</v>
      </c>
      <c r="M81">
        <f t="shared" si="23"/>
        <v>2.1837371992342018</v>
      </c>
      <c r="N81">
        <f t="shared" si="24"/>
        <v>0.99999999999907718</v>
      </c>
      <c r="O81" t="str">
        <f t="shared" si="25"/>
        <v>Q2009-4</v>
      </c>
      <c r="P81">
        <f t="shared" si="26"/>
        <v>-6.2666763359673283E-3</v>
      </c>
      <c r="Q81">
        <f t="shared" si="27"/>
        <v>1.1560652346868039E-2</v>
      </c>
      <c r="R81">
        <f t="shared" si="28"/>
        <v>5.2939760109056433E-3</v>
      </c>
    </row>
    <row r="82" spans="1:18" x14ac:dyDescent="0.35">
      <c r="A82" s="1">
        <v>2010</v>
      </c>
      <c r="B82" s="1">
        <v>1</v>
      </c>
      <c r="C82" s="2">
        <v>93600.548310227299</v>
      </c>
      <c r="D82" s="2">
        <v>61542.765360097146</v>
      </c>
      <c r="E82" s="3">
        <v>102.788362733981</v>
      </c>
      <c r="F82" s="2">
        <v>155143.31367032399</v>
      </c>
      <c r="G82">
        <f t="shared" si="17"/>
        <v>1509.3470655996241</v>
      </c>
      <c r="H82">
        <f t="shared" si="18"/>
        <v>40.774429395831376</v>
      </c>
      <c r="I82">
        <f t="shared" si="19"/>
        <v>62.013933338149933</v>
      </c>
      <c r="J82">
        <f t="shared" si="20"/>
        <v>4.2736138757655398E-3</v>
      </c>
      <c r="K82" s="4">
        <f t="shared" si="21"/>
        <v>2.8477873232906317E-3</v>
      </c>
      <c r="L82">
        <f t="shared" si="22"/>
        <v>10.214093350978146</v>
      </c>
      <c r="M82">
        <f t="shared" si="23"/>
        <v>-9.2140933509770999</v>
      </c>
      <c r="N82">
        <f t="shared" si="24"/>
        <v>1.0000000000010463</v>
      </c>
      <c r="O82" t="str">
        <f t="shared" si="25"/>
        <v>Q2010-1</v>
      </c>
      <c r="P82">
        <f t="shared" si="26"/>
        <v>2.9087565563822693E-2</v>
      </c>
      <c r="Q82">
        <f t="shared" si="27"/>
        <v>-2.6239778240529081E-2</v>
      </c>
      <c r="R82">
        <f t="shared" si="28"/>
        <v>2.847787323290607E-3</v>
      </c>
    </row>
    <row r="83" spans="1:18" x14ac:dyDescent="0.35">
      <c r="A83" s="1">
        <v>2010</v>
      </c>
      <c r="B83" s="1">
        <v>2</v>
      </c>
      <c r="C83" s="2">
        <v>84400.683714267594</v>
      </c>
      <c r="D83" s="2">
        <v>74009.868347319614</v>
      </c>
      <c r="E83" s="3">
        <v>102.820368447807</v>
      </c>
      <c r="F83" s="2">
        <v>158410.55206158699</v>
      </c>
      <c r="G83">
        <f t="shared" si="17"/>
        <v>1540.6534177320937</v>
      </c>
      <c r="H83">
        <f t="shared" si="18"/>
        <v>48.037973690582035</v>
      </c>
      <c r="I83">
        <f t="shared" si="19"/>
        <v>54.782394757225113</v>
      </c>
      <c r="J83">
        <f t="shared" si="20"/>
        <v>3.113748772205577E-4</v>
      </c>
      <c r="K83" s="4">
        <f t="shared" si="21"/>
        <v>7.0382751701717431E-3</v>
      </c>
      <c r="L83">
        <f t="shared" si="22"/>
        <v>3.3730129633308299</v>
      </c>
      <c r="M83">
        <f t="shared" si="23"/>
        <v>-2.3730129633304542</v>
      </c>
      <c r="N83">
        <f t="shared" si="24"/>
        <v>1.0000000000003757</v>
      </c>
      <c r="O83" t="str">
        <f t="shared" si="25"/>
        <v>Q2010-2</v>
      </c>
      <c r="P83">
        <f t="shared" si="26"/>
        <v>2.3740193388478794E-2</v>
      </c>
      <c r="Q83">
        <f t="shared" si="27"/>
        <v>-1.6701918218304405E-2</v>
      </c>
      <c r="R83">
        <f t="shared" si="28"/>
        <v>7.0382751701716373E-3</v>
      </c>
    </row>
    <row r="84" spans="1:18" x14ac:dyDescent="0.35">
      <c r="A84" s="1">
        <v>2010</v>
      </c>
      <c r="B84" s="1">
        <v>3</v>
      </c>
      <c r="C84" s="2">
        <v>83318.321206511493</v>
      </c>
      <c r="D84" s="2">
        <v>75315.613424134688</v>
      </c>
      <c r="E84" s="3">
        <v>102.634835464305</v>
      </c>
      <c r="F84" s="2">
        <v>158633.93463064599</v>
      </c>
      <c r="G84">
        <f t="shared" si="17"/>
        <v>1545.6149358354719</v>
      </c>
      <c r="H84">
        <f t="shared" si="18"/>
        <v>48.728575066093896</v>
      </c>
      <c r="I84">
        <f t="shared" si="19"/>
        <v>53.906260398211231</v>
      </c>
      <c r="J84">
        <f t="shared" si="20"/>
        <v>-1.8044380340474964E-3</v>
      </c>
      <c r="K84" s="4">
        <f t="shared" si="21"/>
        <v>3.2179859574607552E-3</v>
      </c>
      <c r="L84">
        <f t="shared" si="22"/>
        <v>-0.11879004285075644</v>
      </c>
      <c r="M84">
        <f t="shared" si="23"/>
        <v>1.1187900428518356</v>
      </c>
      <c r="N84">
        <f t="shared" si="24"/>
        <v>1.0000000000010791</v>
      </c>
      <c r="O84" t="str">
        <f t="shared" si="25"/>
        <v>Q2010-3</v>
      </c>
      <c r="P84">
        <f t="shared" si="26"/>
        <v>-3.8226468977989558E-4</v>
      </c>
      <c r="Q84">
        <f t="shared" si="27"/>
        <v>3.6002506472441235E-3</v>
      </c>
      <c r="R84">
        <f t="shared" si="28"/>
        <v>3.2179859574608116E-3</v>
      </c>
    </row>
    <row r="85" spans="1:18" x14ac:dyDescent="0.35">
      <c r="A85" s="1">
        <v>2010</v>
      </c>
      <c r="B85" s="1">
        <v>4</v>
      </c>
      <c r="C85" s="2">
        <v>85295.121443569602</v>
      </c>
      <c r="D85" s="2">
        <v>78689.098177278938</v>
      </c>
      <c r="E85" s="3">
        <v>102.853425198159</v>
      </c>
      <c r="F85" s="2">
        <v>163984.21962084901</v>
      </c>
      <c r="G85">
        <f t="shared" si="17"/>
        <v>1594.3486500805827</v>
      </c>
      <c r="H85">
        <f t="shared" si="18"/>
        <v>49.355012890876644</v>
      </c>
      <c r="I85">
        <f t="shared" si="19"/>
        <v>53.498412307282074</v>
      </c>
      <c r="J85">
        <f t="shared" si="20"/>
        <v>2.1297811105277756E-3</v>
      </c>
      <c r="K85" s="4">
        <f t="shared" si="21"/>
        <v>4.90929396920962E-3</v>
      </c>
      <c r="L85">
        <f t="shared" si="22"/>
        <v>3.6301975201625161</v>
      </c>
      <c r="M85">
        <f t="shared" si="23"/>
        <v>-2.6301975201627426</v>
      </c>
      <c r="N85">
        <f t="shared" si="24"/>
        <v>0.99999999999977351</v>
      </c>
      <c r="O85" t="str">
        <f t="shared" si="25"/>
        <v>Q2010-4</v>
      </c>
      <c r="P85">
        <f t="shared" si="26"/>
        <v>1.7821706792773558E-2</v>
      </c>
      <c r="Q85">
        <f t="shared" si="27"/>
        <v>-1.2912412823565049E-2</v>
      </c>
      <c r="R85">
        <f t="shared" si="28"/>
        <v>4.9092939692096937E-3</v>
      </c>
    </row>
    <row r="86" spans="1:18" x14ac:dyDescent="0.35">
      <c r="A86" s="1">
        <v>2011</v>
      </c>
      <c r="B86" s="1">
        <v>1</v>
      </c>
      <c r="C86" s="2">
        <v>96243.823522468505</v>
      </c>
      <c r="D86" s="2">
        <v>63350.633980074585</v>
      </c>
      <c r="E86" s="3">
        <v>103.36272676998</v>
      </c>
      <c r="F86" s="2">
        <v>159594.45750254299</v>
      </c>
      <c r="G86">
        <f t="shared" si="17"/>
        <v>1544.0232905010259</v>
      </c>
      <c r="H86">
        <f t="shared" si="18"/>
        <v>41.029584443326435</v>
      </c>
      <c r="I86">
        <f t="shared" si="19"/>
        <v>62.333142326653622</v>
      </c>
      <c r="J86">
        <f t="shared" si="20"/>
        <v>4.9517220339504496E-3</v>
      </c>
      <c r="K86" s="4">
        <f t="shared" si="21"/>
        <v>5.5878313529077808E-3</v>
      </c>
      <c r="L86">
        <f t="shared" si="22"/>
        <v>0.44423924811250626</v>
      </c>
      <c r="M86">
        <f t="shared" si="23"/>
        <v>0.55576075188706076</v>
      </c>
      <c r="N86">
        <f t="shared" si="24"/>
        <v>0.99999999999956701</v>
      </c>
      <c r="O86" t="str">
        <f t="shared" si="25"/>
        <v>Q2011-1</v>
      </c>
      <c r="P86">
        <f t="shared" si="26"/>
        <v>2.4823339987952412E-3</v>
      </c>
      <c r="Q86">
        <f t="shared" si="27"/>
        <v>3.1054973541101202E-3</v>
      </c>
      <c r="R86">
        <f t="shared" si="28"/>
        <v>5.5878313529078572E-3</v>
      </c>
    </row>
    <row r="87" spans="1:18" x14ac:dyDescent="0.35">
      <c r="A87" s="1">
        <v>2011</v>
      </c>
      <c r="B87" s="1">
        <v>2</v>
      </c>
      <c r="C87" s="2">
        <v>89341.482540077806</v>
      </c>
      <c r="D87" s="2">
        <v>72531.753442467423</v>
      </c>
      <c r="E87" s="3">
        <v>102.943804779705</v>
      </c>
      <c r="F87" s="2">
        <v>161873.23598254501</v>
      </c>
      <c r="G87">
        <f t="shared" si="17"/>
        <v>1572.4427159938984</v>
      </c>
      <c r="H87">
        <f t="shared" si="18"/>
        <v>46.126801761819394</v>
      </c>
      <c r="I87">
        <f t="shared" si="19"/>
        <v>56.81700301788576</v>
      </c>
      <c r="J87">
        <f t="shared" si="20"/>
        <v>-4.0529309100682939E-3</v>
      </c>
      <c r="K87" s="4">
        <f t="shared" si="21"/>
        <v>1.2005046642160574E-3</v>
      </c>
      <c r="L87">
        <f t="shared" si="22"/>
        <v>-15.483058345753687</v>
      </c>
      <c r="M87">
        <f t="shared" si="23"/>
        <v>16.483058345753687</v>
      </c>
      <c r="N87">
        <f t="shared" si="24"/>
        <v>1</v>
      </c>
      <c r="O87" t="str">
        <f t="shared" si="25"/>
        <v>Q2011-2</v>
      </c>
      <c r="P87">
        <f t="shared" si="26"/>
        <v>-1.8587483760406656E-2</v>
      </c>
      <c r="Q87">
        <f t="shared" si="27"/>
        <v>1.9787988424622711E-2</v>
      </c>
      <c r="R87">
        <f t="shared" si="28"/>
        <v>1.2005046642160622E-3</v>
      </c>
    </row>
    <row r="88" spans="1:18" x14ac:dyDescent="0.35">
      <c r="A88" s="1">
        <v>2011</v>
      </c>
      <c r="B88" s="1">
        <v>3</v>
      </c>
      <c r="C88" s="2">
        <v>85016.213712831202</v>
      </c>
      <c r="D88" s="2">
        <v>75133.638866773937</v>
      </c>
      <c r="E88" s="3">
        <v>102.71986344556301</v>
      </c>
      <c r="F88" s="2">
        <v>160149.85257960501</v>
      </c>
      <c r="G88">
        <f t="shared" si="17"/>
        <v>1559.0933165957465</v>
      </c>
      <c r="H88">
        <f t="shared" si="18"/>
        <v>48.190597744865556</v>
      </c>
      <c r="I88">
        <f t="shared" si="19"/>
        <v>54.529265700697536</v>
      </c>
      <c r="J88">
        <f t="shared" si="20"/>
        <v>-2.1753745611134316E-3</v>
      </c>
      <c r="K88" s="4">
        <f t="shared" si="21"/>
        <v>8.2845147920152255E-4</v>
      </c>
      <c r="L88">
        <f t="shared" si="22"/>
        <v>-6.327062142001286</v>
      </c>
      <c r="M88">
        <f t="shared" si="23"/>
        <v>7.3270621420007851</v>
      </c>
      <c r="N88">
        <f t="shared" si="24"/>
        <v>0.99999999999949907</v>
      </c>
      <c r="O88" t="str">
        <f t="shared" si="25"/>
        <v>Q2011-3</v>
      </c>
      <c r="P88">
        <f t="shared" si="26"/>
        <v>-5.241663990540919E-3</v>
      </c>
      <c r="Q88">
        <f t="shared" si="27"/>
        <v>6.0701154697420266E-3</v>
      </c>
      <c r="R88">
        <f t="shared" si="28"/>
        <v>8.2845147920163065E-4</v>
      </c>
    </row>
    <row r="89" spans="1:18" x14ac:dyDescent="0.35">
      <c r="A89" s="1">
        <v>2011</v>
      </c>
      <c r="B89" s="1">
        <v>4</v>
      </c>
      <c r="C89" s="2">
        <v>89155.832318618501</v>
      </c>
      <c r="D89" s="2">
        <v>75038.879651514959</v>
      </c>
      <c r="E89" s="3">
        <v>102.52311693179701</v>
      </c>
      <c r="F89" s="2">
        <v>164194.71197013301</v>
      </c>
      <c r="G89">
        <f t="shared" si="17"/>
        <v>1601.5384323455824</v>
      </c>
      <c r="H89">
        <f t="shared" si="18"/>
        <v>46.854248475083089</v>
      </c>
      <c r="I89">
        <f t="shared" si="19"/>
        <v>55.6688684567142</v>
      </c>
      <c r="J89">
        <f t="shared" si="20"/>
        <v>-1.9153696974126952E-3</v>
      </c>
      <c r="K89" s="4">
        <f t="shared" si="21"/>
        <v>-3.2114464416291345E-3</v>
      </c>
      <c r="L89">
        <f t="shared" si="22"/>
        <v>7.5710016080944271</v>
      </c>
      <c r="M89">
        <f t="shared" si="23"/>
        <v>-6.5710016080961475</v>
      </c>
      <c r="N89">
        <f t="shared" si="24"/>
        <v>0.9999999999982796</v>
      </c>
      <c r="O89" t="str">
        <f t="shared" si="25"/>
        <v>Q2011-4</v>
      </c>
      <c r="P89">
        <f t="shared" si="26"/>
        <v>-2.4313866173883304E-2</v>
      </c>
      <c r="Q89">
        <f t="shared" si="27"/>
        <v>2.1102419732259695E-2</v>
      </c>
      <c r="R89">
        <f t="shared" si="28"/>
        <v>-3.2114464416291844E-3</v>
      </c>
    </row>
    <row r="90" spans="1:18" x14ac:dyDescent="0.35">
      <c r="A90" s="1">
        <v>2012</v>
      </c>
      <c r="B90" s="1">
        <v>1</v>
      </c>
      <c r="C90" s="2">
        <v>99311.2779490065</v>
      </c>
      <c r="D90" s="2">
        <v>61737.821975588442</v>
      </c>
      <c r="E90" s="3">
        <v>103.41504760811701</v>
      </c>
      <c r="F90" s="2">
        <v>161049.09992459501</v>
      </c>
      <c r="G90">
        <f t="shared" si="17"/>
        <v>1557.3081833784731</v>
      </c>
      <c r="H90">
        <f t="shared" si="18"/>
        <v>39.643933445242979</v>
      </c>
      <c r="I90">
        <f t="shared" si="19"/>
        <v>63.771114162873985</v>
      </c>
      <c r="J90">
        <f t="shared" si="20"/>
        <v>8.6998006207063879E-3</v>
      </c>
      <c r="K90" s="4">
        <f t="shared" si="21"/>
        <v>5.0618670551754981E-4</v>
      </c>
      <c r="L90">
        <f t="shared" si="22"/>
        <v>-26.483730907654881</v>
      </c>
      <c r="M90">
        <f t="shared" si="23"/>
        <v>27.483730907652976</v>
      </c>
      <c r="N90">
        <f t="shared" si="24"/>
        <v>0.99999999999809575</v>
      </c>
      <c r="O90" t="str">
        <f t="shared" si="25"/>
        <v>Q2012-1</v>
      </c>
      <c r="P90">
        <f t="shared" si="26"/>
        <v>-1.3405712497959132E-2</v>
      </c>
      <c r="Q90">
        <f t="shared" si="27"/>
        <v>1.3911899203475719E-2</v>
      </c>
      <c r="R90">
        <f t="shared" si="28"/>
        <v>5.0618670551760836E-4</v>
      </c>
    </row>
    <row r="91" spans="1:18" x14ac:dyDescent="0.35">
      <c r="A91" s="1">
        <v>2012</v>
      </c>
      <c r="B91" s="1">
        <v>2</v>
      </c>
      <c r="C91" s="2">
        <v>90911.071967073804</v>
      </c>
      <c r="D91" s="2">
        <v>71940.937444504147</v>
      </c>
      <c r="E91" s="3">
        <v>103.130528158357</v>
      </c>
      <c r="F91" s="2">
        <v>162852.00941157801</v>
      </c>
      <c r="G91">
        <f t="shared" si="17"/>
        <v>1579.0863512452747</v>
      </c>
      <c r="H91">
        <f t="shared" si="18"/>
        <v>45.558583536467907</v>
      </c>
      <c r="I91">
        <f t="shared" si="19"/>
        <v>57.571944621889052</v>
      </c>
      <c r="J91">
        <f t="shared" si="20"/>
        <v>-2.7512383965453018E-3</v>
      </c>
      <c r="K91" s="4">
        <f t="shared" si="21"/>
        <v>1.8138379385876579E-3</v>
      </c>
      <c r="L91">
        <f t="shared" si="22"/>
        <v>-3.0431016697192228</v>
      </c>
      <c r="M91">
        <f t="shared" si="23"/>
        <v>4.0431016697182338</v>
      </c>
      <c r="N91">
        <f t="shared" si="24"/>
        <v>0.99999999999901101</v>
      </c>
      <c r="O91" t="str">
        <f t="shared" si="25"/>
        <v>Q2012-2</v>
      </c>
      <c r="P91">
        <f t="shared" si="26"/>
        <v>-5.519693259516175E-3</v>
      </c>
      <c r="Q91">
        <f t="shared" si="27"/>
        <v>7.333531198102039E-3</v>
      </c>
      <c r="R91">
        <f t="shared" si="28"/>
        <v>1.8138379385876924E-3</v>
      </c>
    </row>
    <row r="92" spans="1:18" x14ac:dyDescent="0.35">
      <c r="A92" s="1">
        <v>2012</v>
      </c>
      <c r="B92" s="1">
        <v>3</v>
      </c>
      <c r="C92" s="2">
        <v>87306.151456997293</v>
      </c>
      <c r="D92" s="2">
        <v>75776.505888589818</v>
      </c>
      <c r="E92" s="3">
        <v>102.94899120490599</v>
      </c>
      <c r="F92" s="2">
        <v>163082.65734558701</v>
      </c>
      <c r="G92">
        <f t="shared" si="17"/>
        <v>1584.1112713867503</v>
      </c>
      <c r="H92">
        <f t="shared" si="18"/>
        <v>47.83534291896941</v>
      </c>
      <c r="I92">
        <f t="shared" si="19"/>
        <v>55.113648285936648</v>
      </c>
      <c r="J92">
        <f t="shared" si="20"/>
        <v>-1.7602639751078464E-3</v>
      </c>
      <c r="K92" s="4">
        <f t="shared" si="21"/>
        <v>2.2306080991279197E-3</v>
      </c>
      <c r="L92">
        <f t="shared" si="22"/>
        <v>-1.5504661107620623</v>
      </c>
      <c r="M92">
        <f t="shared" si="23"/>
        <v>2.5504661107619695</v>
      </c>
      <c r="N92">
        <f t="shared" si="24"/>
        <v>0.99999999999990719</v>
      </c>
      <c r="O92" t="str">
        <f t="shared" si="25"/>
        <v>Q2012-3</v>
      </c>
      <c r="P92">
        <f t="shared" si="26"/>
        <v>-3.4584822640892224E-3</v>
      </c>
      <c r="Q92">
        <f t="shared" si="27"/>
        <v>5.6890903632169348E-3</v>
      </c>
      <c r="R92">
        <f t="shared" si="28"/>
        <v>2.2306080991278954E-3</v>
      </c>
    </row>
    <row r="93" spans="1:18" x14ac:dyDescent="0.35">
      <c r="A93" s="1">
        <v>2012</v>
      </c>
      <c r="B93" s="1">
        <v>4</v>
      </c>
      <c r="C93" s="2">
        <v>91451.542611279394</v>
      </c>
      <c r="D93" s="2">
        <v>75958.314662459001</v>
      </c>
      <c r="E93" s="3">
        <v>102.885005600136</v>
      </c>
      <c r="F93" s="2">
        <v>167409.85727373799</v>
      </c>
      <c r="G93">
        <f t="shared" si="17"/>
        <v>1627.1550581858228</v>
      </c>
      <c r="H93">
        <f t="shared" si="18"/>
        <v>46.681669506744996</v>
      </c>
      <c r="I93">
        <f t="shared" si="19"/>
        <v>56.20333609339125</v>
      </c>
      <c r="J93">
        <f t="shared" si="20"/>
        <v>-6.2152726336717396E-4</v>
      </c>
      <c r="K93" s="4">
        <f t="shared" si="21"/>
        <v>3.5298250694010438E-3</v>
      </c>
      <c r="L93">
        <f t="shared" si="22"/>
        <v>-0.47688414542019886</v>
      </c>
      <c r="M93">
        <f t="shared" si="23"/>
        <v>1.4768841454201007</v>
      </c>
      <c r="N93">
        <f t="shared" si="24"/>
        <v>0.99999999999990186</v>
      </c>
      <c r="O93" t="str">
        <f t="shared" si="25"/>
        <v>Q2012-4</v>
      </c>
      <c r="P93">
        <f t="shared" si="26"/>
        <v>-1.6833176117041109E-3</v>
      </c>
      <c r="Q93">
        <f t="shared" si="27"/>
        <v>5.2131426811048084E-3</v>
      </c>
      <c r="R93">
        <f t="shared" si="28"/>
        <v>3.5298250694011379E-3</v>
      </c>
    </row>
    <row r="94" spans="1:18" x14ac:dyDescent="0.35">
      <c r="A94" s="1">
        <v>2013</v>
      </c>
      <c r="B94" s="1">
        <v>1</v>
      </c>
      <c r="C94" s="2">
        <v>101619.834829655</v>
      </c>
      <c r="D94" s="2">
        <v>60943.150370590709</v>
      </c>
      <c r="E94" s="3">
        <v>103.21894420922</v>
      </c>
      <c r="F94" s="2">
        <v>162562.98520024499</v>
      </c>
      <c r="G94">
        <f t="shared" si="17"/>
        <v>1574.9336175221613</v>
      </c>
      <c r="H94">
        <f t="shared" si="18"/>
        <v>38.695694658211941</v>
      </c>
      <c r="I94">
        <f t="shared" si="19"/>
        <v>64.523249551008504</v>
      </c>
      <c r="J94">
        <f t="shared" si="20"/>
        <v>3.245746133132926E-3</v>
      </c>
      <c r="K94" s="4">
        <f t="shared" si="21"/>
        <v>-1.8962752851995651E-3</v>
      </c>
      <c r="L94">
        <f t="shared" si="22"/>
        <v>4.8354021009551298</v>
      </c>
      <c r="M94">
        <f t="shared" si="23"/>
        <v>-3.8354021009576296</v>
      </c>
      <c r="N94">
        <f t="shared" si="24"/>
        <v>0.99999999999750022</v>
      </c>
      <c r="O94" t="str">
        <f t="shared" si="25"/>
        <v>Q2013-1</v>
      </c>
      <c r="P94">
        <f t="shared" si="26"/>
        <v>-9.1692534980432651E-3</v>
      </c>
      <c r="Q94">
        <f t="shared" si="27"/>
        <v>7.2729782128484405E-3</v>
      </c>
      <c r="R94">
        <f t="shared" si="28"/>
        <v>-1.8962752851995335E-3</v>
      </c>
    </row>
    <row r="95" spans="1:18" x14ac:dyDescent="0.35">
      <c r="A95" s="1">
        <v>2013</v>
      </c>
      <c r="B95" s="1">
        <v>2</v>
      </c>
      <c r="C95" s="2">
        <v>92331.079196347797</v>
      </c>
      <c r="D95" s="2">
        <v>74195.334633510109</v>
      </c>
      <c r="E95" s="3">
        <v>103.29172180254101</v>
      </c>
      <c r="F95" s="2">
        <v>166526.41382985801</v>
      </c>
      <c r="G95">
        <f t="shared" si="17"/>
        <v>1612.195158758225</v>
      </c>
      <c r="H95">
        <f t="shared" si="18"/>
        <v>46.021310900510471</v>
      </c>
      <c r="I95">
        <f t="shared" si="19"/>
        <v>57.27041090203047</v>
      </c>
      <c r="J95">
        <f t="shared" si="20"/>
        <v>7.0507980757379251E-4</v>
      </c>
      <c r="K95" s="4">
        <f t="shared" si="21"/>
        <v>1.5630060958913845E-3</v>
      </c>
      <c r="L95">
        <f t="shared" si="22"/>
        <v>2.8706303302774105</v>
      </c>
      <c r="M95">
        <f t="shared" si="23"/>
        <v>-1.8706303302775871</v>
      </c>
      <c r="N95">
        <f t="shared" si="24"/>
        <v>0.99999999999982347</v>
      </c>
      <c r="O95" t="str">
        <f t="shared" si="25"/>
        <v>Q2013-2</v>
      </c>
      <c r="P95">
        <f t="shared" si="26"/>
        <v>4.486812705274291E-3</v>
      </c>
      <c r="Q95">
        <f t="shared" si="27"/>
        <v>-2.9238066093831825E-3</v>
      </c>
      <c r="R95">
        <f t="shared" si="28"/>
        <v>1.5630060958913283E-3</v>
      </c>
    </row>
    <row r="96" spans="1:18" x14ac:dyDescent="0.35">
      <c r="A96" s="1">
        <v>2013</v>
      </c>
      <c r="B96" s="1">
        <v>3</v>
      </c>
      <c r="C96" s="2">
        <v>89652.063112185104</v>
      </c>
      <c r="D96" s="2">
        <v>76816.088413448597</v>
      </c>
      <c r="E96" s="3">
        <v>102.97757614605899</v>
      </c>
      <c r="F96" s="2">
        <v>166468.15152563399</v>
      </c>
      <c r="G96">
        <f t="shared" si="17"/>
        <v>1616.5475801209641</v>
      </c>
      <c r="H96">
        <f t="shared" si="18"/>
        <v>47.518606540303971</v>
      </c>
      <c r="I96">
        <f t="shared" si="19"/>
        <v>55.458969605754852</v>
      </c>
      <c r="J96">
        <f t="shared" si="20"/>
        <v>-3.0413439818783587E-3</v>
      </c>
      <c r="K96" s="4">
        <f t="shared" si="21"/>
        <v>2.7766120695738565E-4</v>
      </c>
      <c r="L96">
        <f t="shared" si="22"/>
        <v>-11.08053282216407</v>
      </c>
      <c r="M96">
        <f t="shared" si="23"/>
        <v>12.080532822155867</v>
      </c>
      <c r="N96">
        <f t="shared" si="24"/>
        <v>0.99999999999179678</v>
      </c>
      <c r="O96" t="str">
        <f t="shared" si="25"/>
        <v>Q2013-3</v>
      </c>
      <c r="P96">
        <f t="shared" si="26"/>
        <v>-3.0766341171330025E-3</v>
      </c>
      <c r="Q96">
        <f t="shared" si="27"/>
        <v>3.3542953240881103E-3</v>
      </c>
      <c r="R96">
        <f t="shared" si="28"/>
        <v>2.776612069574913E-4</v>
      </c>
    </row>
    <row r="97" spans="1:18" x14ac:dyDescent="0.35">
      <c r="A97" s="1">
        <v>2013</v>
      </c>
      <c r="B97" s="1">
        <v>4</v>
      </c>
      <c r="C97" s="2">
        <v>93746.150353753605</v>
      </c>
      <c r="D97" s="2">
        <v>76906.743227820203</v>
      </c>
      <c r="E97" s="3">
        <v>102.769799948954</v>
      </c>
      <c r="F97" s="2">
        <v>170652.893581574</v>
      </c>
      <c r="G97">
        <f t="shared" si="17"/>
        <v>1660.5354264223311</v>
      </c>
      <c r="H97">
        <f t="shared" si="18"/>
        <v>46.314424856034471</v>
      </c>
      <c r="I97">
        <f t="shared" si="19"/>
        <v>56.455375092919425</v>
      </c>
      <c r="J97">
        <f t="shared" si="20"/>
        <v>-2.0176838966406638E-3</v>
      </c>
      <c r="K97" s="4">
        <f t="shared" si="21"/>
        <v>-1.1197516150190374E-3</v>
      </c>
      <c r="L97">
        <f t="shared" si="22"/>
        <v>3.1877312175456898</v>
      </c>
      <c r="M97">
        <f t="shared" si="23"/>
        <v>-2.187731217542606</v>
      </c>
      <c r="N97">
        <f t="shared" si="24"/>
        <v>1.0000000000030838</v>
      </c>
      <c r="O97" t="str">
        <f t="shared" si="25"/>
        <v>Q2013-4</v>
      </c>
      <c r="P97">
        <f t="shared" si="26"/>
        <v>-3.5694671790933888E-3</v>
      </c>
      <c r="Q97">
        <f t="shared" si="27"/>
        <v>2.4497155640708984E-3</v>
      </c>
      <c r="R97">
        <f t="shared" si="28"/>
        <v>-1.1197516150189823E-3</v>
      </c>
    </row>
    <row r="98" spans="1:18" x14ac:dyDescent="0.35">
      <c r="A98" s="1">
        <v>2014</v>
      </c>
      <c r="B98" s="1">
        <v>1</v>
      </c>
      <c r="C98" s="2">
        <v>104308.769919132</v>
      </c>
      <c r="D98" s="2">
        <v>62159.987312639831</v>
      </c>
      <c r="E98" s="3">
        <v>103.128741902575</v>
      </c>
      <c r="F98" s="2">
        <v>166468.75723177099</v>
      </c>
      <c r="G98">
        <f t="shared" ref="G98:G129" si="29">F98/(E98)</f>
        <v>1614.1839235179739</v>
      </c>
      <c r="H98">
        <f t="shared" ref="H98:H129" si="30">D98/G98</f>
        <v>38.508615038841128</v>
      </c>
      <c r="I98">
        <f t="shared" ref="I98:I129" si="31">C98/G98</f>
        <v>64.620126863734384</v>
      </c>
      <c r="J98">
        <f t="shared" si="20"/>
        <v>3.4926793065597683E-3</v>
      </c>
      <c r="K98" s="4">
        <f t="shared" si="21"/>
        <v>-8.7389294025485458E-4</v>
      </c>
      <c r="L98">
        <f t="shared" si="22"/>
        <v>2.0740003923302019</v>
      </c>
      <c r="M98">
        <f t="shared" si="23"/>
        <v>-1.0740003923309107</v>
      </c>
      <c r="N98">
        <f t="shared" si="24"/>
        <v>0.99999999999929123</v>
      </c>
      <c r="O98" t="str">
        <f t="shared" si="25"/>
        <v>Q2014-1</v>
      </c>
      <c r="P98">
        <f t="shared" si="26"/>
        <v>-1.8124543009431621E-3</v>
      </c>
      <c r="Q98">
        <f t="shared" si="27"/>
        <v>9.3856136068892694E-4</v>
      </c>
      <c r="R98">
        <f t="shared" si="28"/>
        <v>-8.7389294025486119E-4</v>
      </c>
    </row>
    <row r="99" spans="1:18" x14ac:dyDescent="0.35">
      <c r="A99" s="1">
        <v>2014</v>
      </c>
      <c r="B99" s="1">
        <v>2</v>
      </c>
      <c r="C99" s="2">
        <v>93278.536936528006</v>
      </c>
      <c r="D99" s="2">
        <v>76282.211165357439</v>
      </c>
      <c r="E99" s="3">
        <v>102.780317630881</v>
      </c>
      <c r="F99" s="2">
        <v>169560.74810188499</v>
      </c>
      <c r="G99">
        <f t="shared" si="29"/>
        <v>1649.7394833010264</v>
      </c>
      <c r="H99">
        <f t="shared" si="30"/>
        <v>46.238943746876608</v>
      </c>
      <c r="I99">
        <f t="shared" si="31"/>
        <v>56.541373884004663</v>
      </c>
      <c r="J99">
        <f t="shared" ref="J99:J130" si="32">(E99-E98)/E98</f>
        <v>-3.378537013698414E-3</v>
      </c>
      <c r="K99" s="4">
        <f t="shared" si="21"/>
        <v>-4.9510663849484157E-3</v>
      </c>
      <c r="L99">
        <f t="shared" si="22"/>
        <v>-0.42555938810531396</v>
      </c>
      <c r="M99">
        <f t="shared" si="23"/>
        <v>1.4255593881046609</v>
      </c>
      <c r="N99">
        <f t="shared" si="24"/>
        <v>0.99999999999934697</v>
      </c>
      <c r="O99" t="str">
        <f t="shared" si="25"/>
        <v>Q2014-2</v>
      </c>
      <c r="P99">
        <f t="shared" si="26"/>
        <v>2.1069727812474365E-3</v>
      </c>
      <c r="Q99">
        <f t="shared" si="27"/>
        <v>-7.058039166192619E-3</v>
      </c>
      <c r="R99">
        <f t="shared" si="28"/>
        <v>-4.951066384948466E-3</v>
      </c>
    </row>
    <row r="100" spans="1:18" x14ac:dyDescent="0.35">
      <c r="A100" s="1">
        <v>2014</v>
      </c>
      <c r="B100" s="1">
        <v>3</v>
      </c>
      <c r="C100" s="2">
        <v>90726.139215211006</v>
      </c>
      <c r="D100" s="2">
        <v>78729.488379054339</v>
      </c>
      <c r="E100" s="3">
        <v>102.409245452373</v>
      </c>
      <c r="F100" s="2">
        <v>169455.62759426501</v>
      </c>
      <c r="G100">
        <f t="shared" si="29"/>
        <v>1654.6907151373648</v>
      </c>
      <c r="H100">
        <f t="shared" si="30"/>
        <v>47.579579469942566</v>
      </c>
      <c r="I100">
        <f t="shared" si="31"/>
        <v>54.82966598243064</v>
      </c>
      <c r="J100">
        <f t="shared" si="32"/>
        <v>-3.6103427880097359E-3</v>
      </c>
      <c r="K100" s="4">
        <f t="shared" si="21"/>
        <v>-5.5189752464157591E-3</v>
      </c>
      <c r="L100">
        <f t="shared" si="22"/>
        <v>-0.1072842454507357</v>
      </c>
      <c r="M100">
        <f t="shared" si="23"/>
        <v>1.1072842454500731</v>
      </c>
      <c r="N100">
        <f t="shared" si="24"/>
        <v>0.99999999999933742</v>
      </c>
      <c r="O100" t="str">
        <f t="shared" si="25"/>
        <v>Q2014-3</v>
      </c>
      <c r="P100">
        <f t="shared" si="26"/>
        <v>5.9209909497300278E-4</v>
      </c>
      <c r="Q100">
        <f t="shared" si="27"/>
        <v>-6.1110743413851053E-3</v>
      </c>
      <c r="R100">
        <f t="shared" si="28"/>
        <v>-5.5189752464157582E-3</v>
      </c>
    </row>
    <row r="101" spans="1:18" x14ac:dyDescent="0.35">
      <c r="A101" s="1">
        <v>2014</v>
      </c>
      <c r="B101" s="1">
        <v>4</v>
      </c>
      <c r="C101" s="2">
        <v>95195.325642138399</v>
      </c>
      <c r="D101" s="2">
        <v>78341.490641737983</v>
      </c>
      <c r="E101" s="3">
        <v>101.482928318932</v>
      </c>
      <c r="F101" s="2">
        <v>173536.81628387599</v>
      </c>
      <c r="G101">
        <f t="shared" si="29"/>
        <v>1710.0099411646765</v>
      </c>
      <c r="H101">
        <f t="shared" si="30"/>
        <v>45.813470878643024</v>
      </c>
      <c r="I101">
        <f t="shared" si="31"/>
        <v>55.6694574402892</v>
      </c>
      <c r="J101">
        <f t="shared" si="32"/>
        <v>-9.0452490822403465E-3</v>
      </c>
      <c r="K101" s="4">
        <f t="shared" si="21"/>
        <v>-1.2521885132219756E-2</v>
      </c>
      <c r="L101">
        <f t="shared" si="22"/>
        <v>0.38928045789841559</v>
      </c>
      <c r="M101">
        <f t="shared" si="23"/>
        <v>0.61071954210132484</v>
      </c>
      <c r="N101">
        <f t="shared" si="24"/>
        <v>0.99999999999974043</v>
      </c>
      <c r="O101" t="str">
        <f t="shared" si="25"/>
        <v>Q2014-4</v>
      </c>
      <c r="P101">
        <f t="shared" si="26"/>
        <v>-4.8745251780218692E-3</v>
      </c>
      <c r="Q101">
        <f t="shared" si="27"/>
        <v>-7.6473599541946368E-3</v>
      </c>
      <c r="R101">
        <f t="shared" si="28"/>
        <v>-1.2521885132219746E-2</v>
      </c>
    </row>
    <row r="102" spans="1:18" x14ac:dyDescent="0.35">
      <c r="A102" s="1">
        <v>2015</v>
      </c>
      <c r="B102" s="1">
        <v>1</v>
      </c>
      <c r="C102" s="2">
        <v>105424.9888625</v>
      </c>
      <c r="D102" s="2">
        <v>61912.963999052139</v>
      </c>
      <c r="E102" s="3">
        <v>101.78034138799801</v>
      </c>
      <c r="F102" s="2">
        <v>167337.95286155201</v>
      </c>
      <c r="G102">
        <f t="shared" si="29"/>
        <v>1644.1087795494916</v>
      </c>
      <c r="H102">
        <f t="shared" si="30"/>
        <v>37.657462066480264</v>
      </c>
      <c r="I102">
        <f t="shared" si="31"/>
        <v>64.122879321517829</v>
      </c>
      <c r="J102">
        <f t="shared" si="32"/>
        <v>2.9306709413363169E-3</v>
      </c>
      <c r="K102" s="4">
        <f t="shared" ref="K102:K133" si="33">(E102-E98)/E98</f>
        <v>-1.3074924504080722E-2</v>
      </c>
      <c r="L102">
        <f t="shared" si="22"/>
        <v>0.63123156892882026</v>
      </c>
      <c r="M102">
        <f t="shared" si="23"/>
        <v>0.36876843107149587</v>
      </c>
      <c r="N102">
        <f t="shared" si="24"/>
        <v>1.0000000000003162</v>
      </c>
      <c r="O102" t="str">
        <f t="shared" si="25"/>
        <v>Q2015-1</v>
      </c>
      <c r="P102">
        <f t="shared" si="26"/>
        <v>-8.2533051083367517E-3</v>
      </c>
      <c r="Q102">
        <f t="shared" si="27"/>
        <v>-4.8216193957481036E-3</v>
      </c>
      <c r="R102">
        <f t="shared" si="28"/>
        <v>-1.3074924504080765E-2</v>
      </c>
    </row>
    <row r="103" spans="1:18" x14ac:dyDescent="0.35">
      <c r="A103" s="1">
        <v>2015</v>
      </c>
      <c r="B103" s="1">
        <v>2</v>
      </c>
      <c r="C103" s="2">
        <v>95613.097638437903</v>
      </c>
      <c r="D103" s="2">
        <v>73540.809228329468</v>
      </c>
      <c r="E103" s="3">
        <v>101.27456802949401</v>
      </c>
      <c r="F103" s="2">
        <v>169153.90686676701</v>
      </c>
      <c r="G103">
        <f t="shared" si="29"/>
        <v>1670.2505886522727</v>
      </c>
      <c r="H103">
        <f t="shared" si="30"/>
        <v>44.029805903358273</v>
      </c>
      <c r="I103">
        <f t="shared" si="31"/>
        <v>57.244762126135953</v>
      </c>
      <c r="J103">
        <f t="shared" si="32"/>
        <v>-4.9692637262429371E-3</v>
      </c>
      <c r="K103" s="4">
        <f t="shared" si="33"/>
        <v>-1.4650174625794142E-2</v>
      </c>
      <c r="L103">
        <f t="shared" si="22"/>
        <v>1.4671349349741984</v>
      </c>
      <c r="M103">
        <f t="shared" si="23"/>
        <v>-0.46713493497416553</v>
      </c>
      <c r="N103">
        <f t="shared" si="24"/>
        <v>1.0000000000000329</v>
      </c>
      <c r="O103" t="str">
        <f t="shared" si="25"/>
        <v>Q2015-2</v>
      </c>
      <c r="P103">
        <f t="shared" si="26"/>
        <v>-2.1493782996975141E-2</v>
      </c>
      <c r="Q103">
        <f t="shared" si="27"/>
        <v>6.8436083711805162E-3</v>
      </c>
      <c r="R103">
        <f t="shared" si="28"/>
        <v>-1.4650174625794099E-2</v>
      </c>
    </row>
    <row r="104" spans="1:18" x14ac:dyDescent="0.35">
      <c r="A104" s="1">
        <v>2015</v>
      </c>
      <c r="B104" s="1">
        <v>3</v>
      </c>
      <c r="C104" s="2">
        <v>93000.875220596907</v>
      </c>
      <c r="D104" s="2">
        <v>76322.184711348193</v>
      </c>
      <c r="E104" s="3">
        <v>101.006770727457</v>
      </c>
      <c r="F104" s="2">
        <v>169323.059931945</v>
      </c>
      <c r="G104">
        <f t="shared" si="29"/>
        <v>1676.3535623648779</v>
      </c>
      <c r="H104">
        <f t="shared" si="30"/>
        <v>45.528691813484976</v>
      </c>
      <c r="I104">
        <f t="shared" si="31"/>
        <v>55.478078913972077</v>
      </c>
      <c r="J104">
        <f t="shared" si="32"/>
        <v>-2.6442700003323663E-3</v>
      </c>
      <c r="K104" s="4">
        <f t="shared" si="33"/>
        <v>-1.3694805764077686E-2</v>
      </c>
      <c r="L104">
        <f t="shared" si="22"/>
        <v>1.4623348428474672</v>
      </c>
      <c r="M104">
        <f t="shared" si="23"/>
        <v>-0.46233484284736082</v>
      </c>
      <c r="N104">
        <f t="shared" si="24"/>
        <v>1.0000000000001064</v>
      </c>
      <c r="O104" t="str">
        <f t="shared" si="25"/>
        <v>Q2015-3</v>
      </c>
      <c r="P104">
        <f t="shared" si="26"/>
        <v>-2.002639163483913E-2</v>
      </c>
      <c r="Q104">
        <f t="shared" si="27"/>
        <v>6.3315858707599882E-3</v>
      </c>
      <c r="R104">
        <f t="shared" si="28"/>
        <v>-1.3694805764077667E-2</v>
      </c>
    </row>
    <row r="105" spans="1:18" x14ac:dyDescent="0.35">
      <c r="A105" s="1">
        <v>2015</v>
      </c>
      <c r="B105" s="1">
        <v>4</v>
      </c>
      <c r="C105" s="2">
        <v>96609.354735235</v>
      </c>
      <c r="D105" s="2">
        <v>77208.465290385284</v>
      </c>
      <c r="E105" s="3">
        <v>100.222191113888</v>
      </c>
      <c r="F105" s="2">
        <v>173817.82002561999</v>
      </c>
      <c r="G105">
        <f t="shared" si="29"/>
        <v>1734.3246849203408</v>
      </c>
      <c r="H105">
        <f t="shared" si="30"/>
        <v>44.517884085776906</v>
      </c>
      <c r="I105">
        <f t="shared" si="31"/>
        <v>55.704307028111266</v>
      </c>
      <c r="J105">
        <f t="shared" si="32"/>
        <v>-7.7675942703484425E-3</v>
      </c>
      <c r="K105" s="4">
        <f t="shared" si="33"/>
        <v>-1.242314570468302E-2</v>
      </c>
      <c r="L105">
        <f t="shared" si="22"/>
        <v>1.0276422300243822</v>
      </c>
      <c r="M105">
        <f t="shared" si="23"/>
        <v>-2.7642230024337168E-2</v>
      </c>
      <c r="N105">
        <f t="shared" si="24"/>
        <v>1.0000000000000451</v>
      </c>
      <c r="O105" t="str">
        <f t="shared" si="25"/>
        <v>Q2015-4</v>
      </c>
      <c r="P105">
        <f t="shared" si="26"/>
        <v>-1.2766549155878283E-2</v>
      </c>
      <c r="Q105">
        <f t="shared" si="27"/>
        <v>3.4340345119470431E-4</v>
      </c>
      <c r="R105">
        <f t="shared" si="28"/>
        <v>-1.2423145704683058E-2</v>
      </c>
    </row>
    <row r="106" spans="1:18" x14ac:dyDescent="0.35">
      <c r="A106" s="1">
        <v>2016</v>
      </c>
      <c r="B106" s="1">
        <v>1</v>
      </c>
      <c r="C106" s="2">
        <v>105459.336136187</v>
      </c>
      <c r="D106" s="2">
        <v>63441.334108457544</v>
      </c>
      <c r="E106" s="3">
        <v>100.497686033976</v>
      </c>
      <c r="F106" s="2">
        <v>168900.67024464501</v>
      </c>
      <c r="G106">
        <f t="shared" si="29"/>
        <v>1680.6423800399098</v>
      </c>
      <c r="H106">
        <f t="shared" si="30"/>
        <v>37.748265105007654</v>
      </c>
      <c r="I106">
        <f t="shared" si="31"/>
        <v>62.749420928968057</v>
      </c>
      <c r="J106">
        <f t="shared" si="32"/>
        <v>2.7488415192892103E-3</v>
      </c>
      <c r="K106" s="4">
        <f t="shared" si="33"/>
        <v>-1.2602191508990784E-2</v>
      </c>
      <c r="L106">
        <f t="shared" si="22"/>
        <v>-7.0793014072455251E-2</v>
      </c>
      <c r="M106">
        <f t="shared" si="23"/>
        <v>1.0707930140727433</v>
      </c>
      <c r="N106">
        <f t="shared" si="24"/>
        <v>1.000000000000288</v>
      </c>
      <c r="O106" t="str">
        <f t="shared" si="25"/>
        <v>Q2016-1</v>
      </c>
      <c r="P106">
        <f t="shared" si="26"/>
        <v>8.9214712083976065E-4</v>
      </c>
      <c r="Q106">
        <f t="shared" si="27"/>
        <v>-1.3494338629834174E-2</v>
      </c>
      <c r="R106">
        <f t="shared" si="28"/>
        <v>-1.2602191508990779E-2</v>
      </c>
    </row>
    <row r="107" spans="1:18" x14ac:dyDescent="0.35">
      <c r="A107" s="1">
        <v>2016</v>
      </c>
      <c r="B107" s="1">
        <v>2</v>
      </c>
      <c r="C107" s="2">
        <v>97123.177684391296</v>
      </c>
      <c r="D107" s="2">
        <v>75629.344858223849</v>
      </c>
      <c r="E107" s="3">
        <v>100.699299494512</v>
      </c>
      <c r="F107" s="2">
        <v>172752.52254261501</v>
      </c>
      <c r="G107">
        <f t="shared" si="29"/>
        <v>1715.5285429967646</v>
      </c>
      <c r="H107">
        <f t="shared" si="30"/>
        <v>44.085156826426804</v>
      </c>
      <c r="I107">
        <f t="shared" si="31"/>
        <v>56.614142668085279</v>
      </c>
      <c r="J107">
        <f t="shared" si="32"/>
        <v>2.0061502756177729E-3</v>
      </c>
      <c r="K107" s="4">
        <f t="shared" si="33"/>
        <v>-5.6802862374536797E-3</v>
      </c>
      <c r="L107">
        <f t="shared" si="22"/>
        <v>-9.62175396404438E-2</v>
      </c>
      <c r="M107">
        <f t="shared" si="23"/>
        <v>1.0962175396406908</v>
      </c>
      <c r="N107">
        <f t="shared" si="24"/>
        <v>1.0000000000002469</v>
      </c>
      <c r="O107" t="str">
        <f t="shared" si="25"/>
        <v>Q2016-2</v>
      </c>
      <c r="P107">
        <f t="shared" si="26"/>
        <v>5.4654316622126681E-4</v>
      </c>
      <c r="Q107">
        <f t="shared" si="27"/>
        <v>-6.2268294036763499E-3</v>
      </c>
      <c r="R107">
        <f t="shared" si="28"/>
        <v>-5.6802862374536467E-3</v>
      </c>
    </row>
    <row r="108" spans="1:18" x14ac:dyDescent="0.35">
      <c r="A108" s="1">
        <v>2016</v>
      </c>
      <c r="B108" s="1">
        <v>3</v>
      </c>
      <c r="C108" s="2">
        <v>94753.000520374102</v>
      </c>
      <c r="D108" s="2">
        <v>77122.296770218003</v>
      </c>
      <c r="E108" s="3">
        <v>100.57085852305801</v>
      </c>
      <c r="F108" s="2">
        <v>171875.29729059199</v>
      </c>
      <c r="G108">
        <f t="shared" si="29"/>
        <v>1708.9970177711659</v>
      </c>
      <c r="H108">
        <f t="shared" si="30"/>
        <v>45.127227238113676</v>
      </c>
      <c r="I108">
        <f t="shared" si="31"/>
        <v>55.443631284944402</v>
      </c>
      <c r="J108">
        <f t="shared" si="32"/>
        <v>-1.2754902178936951E-3</v>
      </c>
      <c r="K108" s="4">
        <f t="shared" si="33"/>
        <v>-4.3156731104214288E-3</v>
      </c>
      <c r="L108">
        <f t="shared" si="22"/>
        <v>0.92097576374310697</v>
      </c>
      <c r="M108">
        <f t="shared" si="23"/>
        <v>7.9024236256860447E-2</v>
      </c>
      <c r="N108">
        <f t="shared" si="24"/>
        <v>0.99999999999996736</v>
      </c>
      <c r="O108" t="str">
        <f t="shared" si="25"/>
        <v>Q2016-3</v>
      </c>
      <c r="P108">
        <f t="shared" si="26"/>
        <v>-3.9746303389359651E-3</v>
      </c>
      <c r="Q108">
        <f t="shared" si="27"/>
        <v>-3.4104277148532279E-4</v>
      </c>
      <c r="R108">
        <f t="shared" si="28"/>
        <v>-4.3156731104214696E-3</v>
      </c>
    </row>
    <row r="109" spans="1:18" x14ac:dyDescent="0.35">
      <c r="A109" s="1">
        <v>2016</v>
      </c>
      <c r="B109" s="1">
        <v>4</v>
      </c>
      <c r="C109" s="2">
        <v>97900.545995372595</v>
      </c>
      <c r="D109" s="2">
        <v>76975.153211744502</v>
      </c>
      <c r="E109" s="3">
        <v>100.01899420302701</v>
      </c>
      <c r="F109" s="2">
        <v>174875.699207117</v>
      </c>
      <c r="G109">
        <f t="shared" si="29"/>
        <v>1748.4248926972764</v>
      </c>
      <c r="H109">
        <f t="shared" si="30"/>
        <v>44.025427419416204</v>
      </c>
      <c r="I109">
        <f t="shared" si="31"/>
        <v>55.993566783610859</v>
      </c>
      <c r="J109">
        <f t="shared" si="32"/>
        <v>-5.48731837567514E-3</v>
      </c>
      <c r="K109" s="4">
        <f t="shared" si="33"/>
        <v>-2.0274642631799159E-3</v>
      </c>
      <c r="L109">
        <f t="shared" si="22"/>
        <v>2.4235440601633238</v>
      </c>
      <c r="M109">
        <f t="shared" si="23"/>
        <v>-1.423544060162764</v>
      </c>
      <c r="N109">
        <f t="shared" si="24"/>
        <v>1.0000000000005598</v>
      </c>
      <c r="O109" t="str">
        <f t="shared" si="25"/>
        <v>Q2016-4</v>
      </c>
      <c r="P109">
        <f t="shared" si="26"/>
        <v>-4.9136489722230951E-3</v>
      </c>
      <c r="Q109">
        <f t="shared" si="27"/>
        <v>2.8861847090420442E-3</v>
      </c>
      <c r="R109">
        <f t="shared" si="28"/>
        <v>-2.0274642631799011E-3</v>
      </c>
    </row>
    <row r="110" spans="1:18" x14ac:dyDescent="0.35">
      <c r="A110" s="1">
        <v>2017</v>
      </c>
      <c r="B110" s="1">
        <v>1</v>
      </c>
      <c r="C110" s="2">
        <v>106152.16135550701</v>
      </c>
      <c r="D110" s="2">
        <v>64205.661708508349</v>
      </c>
      <c r="E110" s="3">
        <v>100.289792329519</v>
      </c>
      <c r="F110" s="2">
        <v>170357.82306401501</v>
      </c>
      <c r="G110">
        <f t="shared" si="29"/>
        <v>1698.6556568416822</v>
      </c>
      <c r="H110">
        <f t="shared" si="30"/>
        <v>37.79792652495928</v>
      </c>
      <c r="I110">
        <f t="shared" si="31"/>
        <v>62.491865804559929</v>
      </c>
      <c r="J110">
        <f t="shared" si="32"/>
        <v>2.7074670031404994E-3</v>
      </c>
      <c r="K110" s="4">
        <f t="shared" si="33"/>
        <v>-2.0686417037175209E-3</v>
      </c>
      <c r="L110">
        <f t="shared" si="22"/>
        <v>-0.2388789024724865</v>
      </c>
      <c r="M110">
        <f t="shared" si="23"/>
        <v>1.2388789024701281</v>
      </c>
      <c r="N110">
        <f t="shared" si="24"/>
        <v>0.99999999999764166</v>
      </c>
      <c r="O110" t="str">
        <f t="shared" si="25"/>
        <v>Q2017-1</v>
      </c>
      <c r="P110">
        <f t="shared" si="26"/>
        <v>4.9415485979285596E-4</v>
      </c>
      <c r="Q110">
        <f t="shared" si="27"/>
        <v>-2.5627965635054983E-3</v>
      </c>
      <c r="R110">
        <f t="shared" si="28"/>
        <v>-2.0686417037175664E-3</v>
      </c>
    </row>
    <row r="111" spans="1:18" x14ac:dyDescent="0.35">
      <c r="A111" s="1">
        <v>2017</v>
      </c>
      <c r="B111" s="1">
        <v>2</v>
      </c>
      <c r="C111" s="2">
        <v>98661.155926685096</v>
      </c>
      <c r="D111" s="2">
        <v>73444.398391104245</v>
      </c>
      <c r="E111" s="3">
        <v>99.658006974065898</v>
      </c>
      <c r="F111" s="2">
        <v>172105.55431778901</v>
      </c>
      <c r="G111">
        <f t="shared" si="29"/>
        <v>1726.9616315182402</v>
      </c>
      <c r="H111">
        <f t="shared" si="30"/>
        <v>42.528100827889482</v>
      </c>
      <c r="I111">
        <f t="shared" si="31"/>
        <v>57.129906146176609</v>
      </c>
      <c r="J111">
        <f t="shared" si="32"/>
        <v>-6.2995978033065112E-3</v>
      </c>
      <c r="K111" s="4">
        <f t="shared" si="33"/>
        <v>-1.034061334759191E-2</v>
      </c>
      <c r="L111">
        <f t="shared" si="22"/>
        <v>1.4953108449009649</v>
      </c>
      <c r="M111">
        <f t="shared" si="23"/>
        <v>-0.49531084490107413</v>
      </c>
      <c r="N111">
        <f t="shared" si="24"/>
        <v>0.99999999999989075</v>
      </c>
      <c r="O111" t="str">
        <f t="shared" si="25"/>
        <v>Q2017-2</v>
      </c>
      <c r="P111">
        <f t="shared" si="26"/>
        <v>-1.5462431281581854E-2</v>
      </c>
      <c r="Q111">
        <f t="shared" si="27"/>
        <v>5.1218179339910736E-3</v>
      </c>
      <c r="R111">
        <f t="shared" si="28"/>
        <v>-1.0340613347591954E-2</v>
      </c>
    </row>
    <row r="112" spans="1:18" x14ac:dyDescent="0.35">
      <c r="A112" s="1">
        <v>2017</v>
      </c>
      <c r="B112" s="1">
        <v>3</v>
      </c>
      <c r="C112" s="2">
        <v>96338.198382235496</v>
      </c>
      <c r="D112" s="2">
        <v>77302.421705853834</v>
      </c>
      <c r="E112" s="3">
        <v>100.245149863153</v>
      </c>
      <c r="F112" s="2">
        <v>173640.620088089</v>
      </c>
      <c r="G112">
        <f t="shared" si="29"/>
        <v>1732.1598134685805</v>
      </c>
      <c r="H112">
        <f t="shared" si="30"/>
        <v>44.627765350968879</v>
      </c>
      <c r="I112">
        <f t="shared" si="31"/>
        <v>55.617384512184309</v>
      </c>
      <c r="J112">
        <f t="shared" si="32"/>
        <v>5.8915776756392211E-3</v>
      </c>
      <c r="K112" s="4">
        <f t="shared" si="33"/>
        <v>-3.2385987818760488E-3</v>
      </c>
      <c r="L112">
        <f t="shared" si="22"/>
        <v>1.5334621047241099</v>
      </c>
      <c r="M112">
        <f t="shared" si="23"/>
        <v>-0.53346210472445899</v>
      </c>
      <c r="N112">
        <f t="shared" si="24"/>
        <v>0.99999999999965095</v>
      </c>
      <c r="O112" t="str">
        <f t="shared" si="25"/>
        <v>Q2017-3</v>
      </c>
      <c r="P112">
        <f t="shared" si="26"/>
        <v>-4.966268504412584E-3</v>
      </c>
      <c r="Q112">
        <f t="shared" si="27"/>
        <v>1.727669722537666E-3</v>
      </c>
      <c r="R112">
        <f t="shared" si="28"/>
        <v>-3.2385987818760453E-3</v>
      </c>
    </row>
    <row r="113" spans="1:18" x14ac:dyDescent="0.35">
      <c r="A113" s="1">
        <v>2017</v>
      </c>
      <c r="B113" s="1">
        <v>4</v>
      </c>
      <c r="C113" s="2">
        <v>99747.835725248602</v>
      </c>
      <c r="D113" s="2">
        <v>79990.816633282942</v>
      </c>
      <c r="E113" s="3">
        <v>100.23567615015401</v>
      </c>
      <c r="F113" s="2">
        <v>179738.65235853201</v>
      </c>
      <c r="G113">
        <f t="shared" si="29"/>
        <v>1793.1604720187829</v>
      </c>
      <c r="H113">
        <f t="shared" si="30"/>
        <v>44.608844485193991</v>
      </c>
      <c r="I113">
        <f t="shared" si="31"/>
        <v>55.626831664959745</v>
      </c>
      <c r="J113">
        <f t="shared" si="32"/>
        <v>-9.4505450008597542E-5</v>
      </c>
      <c r="K113" s="4">
        <f t="shared" si="33"/>
        <v>2.1664079793400136E-3</v>
      </c>
      <c r="L113">
        <f t="shared" si="22"/>
        <v>2.6925042603380276</v>
      </c>
      <c r="M113">
        <f t="shared" si="23"/>
        <v>-1.6925042603395362</v>
      </c>
      <c r="N113">
        <f t="shared" si="24"/>
        <v>0.99999999999849143</v>
      </c>
      <c r="O113" t="str">
        <f t="shared" si="25"/>
        <v>Q2017-4</v>
      </c>
      <c r="P113">
        <f t="shared" si="26"/>
        <v>5.8330627140032844E-3</v>
      </c>
      <c r="Q113">
        <f t="shared" si="27"/>
        <v>-3.6666547346665386E-3</v>
      </c>
      <c r="R113">
        <f t="shared" si="28"/>
        <v>2.1664079793399793E-3</v>
      </c>
    </row>
    <row r="114" spans="1:18" x14ac:dyDescent="0.35">
      <c r="A114" s="1">
        <v>2018</v>
      </c>
      <c r="B114" s="1">
        <v>1</v>
      </c>
      <c r="C114" s="2">
        <v>110195.185901934</v>
      </c>
      <c r="D114" s="2">
        <v>66471.685972009393</v>
      </c>
      <c r="E114" s="3">
        <v>100.390945662877</v>
      </c>
      <c r="F114" s="2">
        <v>176666.87187394401</v>
      </c>
      <c r="G114">
        <f t="shared" si="29"/>
        <v>1759.7889003577009</v>
      </c>
      <c r="H114">
        <f t="shared" si="30"/>
        <v>37.772533943416803</v>
      </c>
      <c r="I114">
        <f t="shared" si="31"/>
        <v>62.618411719459843</v>
      </c>
      <c r="J114">
        <f t="shared" si="32"/>
        <v>1.5490443990261516E-3</v>
      </c>
      <c r="K114" s="4">
        <f t="shared" si="33"/>
        <v>1.008610457838448E-3</v>
      </c>
      <c r="L114">
        <f t="shared" si="22"/>
        <v>-0.25103059582433895</v>
      </c>
      <c r="M114">
        <f t="shared" si="23"/>
        <v>1.2510305958187897</v>
      </c>
      <c r="N114">
        <f t="shared" si="24"/>
        <v>0.99999999999445077</v>
      </c>
      <c r="O114" t="str">
        <f t="shared" si="25"/>
        <v>Q2018-1</v>
      </c>
      <c r="P114">
        <f t="shared" si="26"/>
        <v>-2.5319208418584488E-4</v>
      </c>
      <c r="Q114">
        <f t="shared" si="27"/>
        <v>1.2618025420186958E-3</v>
      </c>
      <c r="R114">
        <f t="shared" si="28"/>
        <v>1.0086104578383992E-3</v>
      </c>
    </row>
    <row r="115" spans="1:18" x14ac:dyDescent="0.35">
      <c r="A115" s="1">
        <v>2018</v>
      </c>
      <c r="B115" s="1">
        <v>2</v>
      </c>
      <c r="C115" s="2">
        <v>99964.760645393195</v>
      </c>
      <c r="D115" s="2">
        <v>82260.211056708911</v>
      </c>
      <c r="E115" s="3">
        <v>101.02647426209499</v>
      </c>
      <c r="F115" s="2">
        <v>182224.97170210199</v>
      </c>
      <c r="G115">
        <f t="shared" si="29"/>
        <v>1803.7348431001574</v>
      </c>
      <c r="H115">
        <f t="shared" si="30"/>
        <v>45.605489837588721</v>
      </c>
      <c r="I115">
        <f t="shared" si="31"/>
        <v>55.420984424506329</v>
      </c>
      <c r="J115">
        <f t="shared" si="32"/>
        <v>6.3305370322156457E-3</v>
      </c>
      <c r="K115" s="4">
        <f t="shared" si="33"/>
        <v>1.3731634111298375E-2</v>
      </c>
      <c r="L115">
        <f t="shared" si="22"/>
        <v>2.248785218776681</v>
      </c>
      <c r="M115">
        <f t="shared" si="23"/>
        <v>-1.2487852187767796</v>
      </c>
      <c r="N115">
        <f t="shared" si="24"/>
        <v>0.99999999999990141</v>
      </c>
      <c r="O115" t="str">
        <f t="shared" si="25"/>
        <v>Q2018-2</v>
      </c>
      <c r="P115">
        <f t="shared" si="26"/>
        <v>3.0879495819137452E-2</v>
      </c>
      <c r="Q115">
        <f t="shared" si="27"/>
        <v>-1.7147861707840429E-2</v>
      </c>
      <c r="R115">
        <f t="shared" si="28"/>
        <v>1.3731634111298296E-2</v>
      </c>
    </row>
    <row r="116" spans="1:18" x14ac:dyDescent="0.35">
      <c r="A116" s="1">
        <v>2018</v>
      </c>
      <c r="B116" s="1">
        <v>3</v>
      </c>
      <c r="C116" s="2">
        <v>97401.832798064497</v>
      </c>
      <c r="D116" s="2">
        <v>82878.188971167969</v>
      </c>
      <c r="E116" s="3">
        <v>101.099602979964</v>
      </c>
      <c r="F116" s="2">
        <v>180280.021769232</v>
      </c>
      <c r="G116">
        <f t="shared" si="29"/>
        <v>1783.1921833061999</v>
      </c>
      <c r="H116">
        <f t="shared" si="30"/>
        <v>46.477429492487062</v>
      </c>
      <c r="I116">
        <f t="shared" si="31"/>
        <v>54.622173487477198</v>
      </c>
      <c r="J116">
        <f t="shared" si="32"/>
        <v>7.238569731661792E-4</v>
      </c>
      <c r="K116" s="4">
        <f t="shared" si="33"/>
        <v>8.5236354873770466E-3</v>
      </c>
      <c r="L116">
        <f t="shared" si="22"/>
        <v>2.1647345010824215</v>
      </c>
      <c r="M116">
        <f t="shared" si="23"/>
        <v>-1.1647345010823382</v>
      </c>
      <c r="N116">
        <f t="shared" si="24"/>
        <v>1.0000000000000833</v>
      </c>
      <c r="O116" t="str">
        <f t="shared" si="25"/>
        <v>Q2018-3</v>
      </c>
      <c r="P116">
        <f t="shared" si="26"/>
        <v>1.8451407814175574E-2</v>
      </c>
      <c r="Q116">
        <f t="shared" si="27"/>
        <v>-9.9277723267978176E-3</v>
      </c>
      <c r="R116">
        <f t="shared" si="28"/>
        <v>8.5236354873770015E-3</v>
      </c>
    </row>
    <row r="117" spans="1:18" x14ac:dyDescent="0.35">
      <c r="A117" s="1">
        <v>2018</v>
      </c>
      <c r="B117" s="1">
        <v>4</v>
      </c>
      <c r="C117" s="2">
        <v>102218.88146099199</v>
      </c>
      <c r="D117" s="2">
        <v>82992.498084885563</v>
      </c>
      <c r="E117" s="3">
        <v>100.904620367411</v>
      </c>
      <c r="F117" s="2">
        <v>185211.37954587699</v>
      </c>
      <c r="G117">
        <f t="shared" si="29"/>
        <v>1835.5094035485258</v>
      </c>
      <c r="H117">
        <f t="shared" si="30"/>
        <v>45.214967531323502</v>
      </c>
      <c r="I117">
        <f t="shared" si="31"/>
        <v>55.689652836087802</v>
      </c>
      <c r="J117">
        <f t="shared" si="32"/>
        <v>-1.9286189738217567E-3</v>
      </c>
      <c r="K117" s="4">
        <f t="shared" si="33"/>
        <v>6.6737138207648514E-3</v>
      </c>
      <c r="L117">
        <f t="shared" si="22"/>
        <v>0.9060890736374404</v>
      </c>
      <c r="M117">
        <f t="shared" si="23"/>
        <v>9.3910926363420022E-2</v>
      </c>
      <c r="N117">
        <f t="shared" si="24"/>
        <v>1.0000000000008604</v>
      </c>
      <c r="O117" t="str">
        <f t="shared" si="25"/>
        <v>Q2018-4</v>
      </c>
      <c r="P117">
        <f t="shared" si="26"/>
        <v>6.0469791735782074E-3</v>
      </c>
      <c r="Q117">
        <f t="shared" si="27"/>
        <v>6.2673464719238648E-4</v>
      </c>
      <c r="R117">
        <f t="shared" si="28"/>
        <v>6.6737138207648705E-3</v>
      </c>
    </row>
    <row r="118" spans="1:18" x14ac:dyDescent="0.35">
      <c r="A118" s="1">
        <v>2019</v>
      </c>
      <c r="B118" s="1">
        <v>1</v>
      </c>
      <c r="C118" s="2">
        <v>113231.338368464</v>
      </c>
      <c r="D118" s="2">
        <v>67103.969250888171</v>
      </c>
      <c r="E118" s="3">
        <v>101.281315042282</v>
      </c>
      <c r="F118" s="2">
        <v>180335.30761935201</v>
      </c>
      <c r="G118">
        <f t="shared" si="29"/>
        <v>1780.5387651618391</v>
      </c>
      <c r="H118">
        <f t="shared" si="30"/>
        <v>37.687452002646438</v>
      </c>
      <c r="I118">
        <f t="shared" si="31"/>
        <v>63.593863039635657</v>
      </c>
      <c r="J118">
        <f t="shared" si="32"/>
        <v>3.7331756811471491E-3</v>
      </c>
      <c r="K118" s="4">
        <f t="shared" si="33"/>
        <v>8.8690207421190381E-3</v>
      </c>
      <c r="L118">
        <f t="shared" si="22"/>
        <v>-9.5558026520658479E-2</v>
      </c>
      <c r="M118">
        <f t="shared" si="23"/>
        <v>1.0955580265211613</v>
      </c>
      <c r="N118">
        <f t="shared" si="24"/>
        <v>1.0000000000005027</v>
      </c>
      <c r="O118" t="str">
        <f t="shared" si="25"/>
        <v>Q2019-1</v>
      </c>
      <c r="P118">
        <f t="shared" si="26"/>
        <v>-8.4750611928768123E-4</v>
      </c>
      <c r="Q118">
        <f t="shared" si="27"/>
        <v>9.7165268614111781E-3</v>
      </c>
      <c r="R118">
        <f t="shared" si="28"/>
        <v>8.8690207421189271E-3</v>
      </c>
    </row>
    <row r="119" spans="1:18" x14ac:dyDescent="0.35">
      <c r="A119" s="1">
        <v>2019</v>
      </c>
      <c r="B119" s="1">
        <v>2</v>
      </c>
      <c r="C119" s="2">
        <v>102901.665725064</v>
      </c>
      <c r="D119" s="2">
        <v>79815.385557530142</v>
      </c>
      <c r="E119" s="3">
        <v>100.88439623776399</v>
      </c>
      <c r="F119" s="2">
        <v>182717.05128259401</v>
      </c>
      <c r="G119">
        <f t="shared" si="29"/>
        <v>1811.1527460794541</v>
      </c>
      <c r="H119">
        <f t="shared" si="30"/>
        <v>44.068831704175153</v>
      </c>
      <c r="I119">
        <f t="shared" si="31"/>
        <v>56.815564533588912</v>
      </c>
      <c r="J119">
        <f t="shared" si="32"/>
        <v>-3.9189736463463862E-3</v>
      </c>
      <c r="K119" s="4">
        <f t="shared" si="33"/>
        <v>-1.4063444791946643E-3</v>
      </c>
      <c r="L119">
        <f t="shared" si="22"/>
        <v>10.815593337880426</v>
      </c>
      <c r="M119">
        <f t="shared" si="23"/>
        <v>-9.8155933378805251</v>
      </c>
      <c r="N119">
        <f t="shared" si="24"/>
        <v>0.99999999999990052</v>
      </c>
      <c r="O119" t="str">
        <f t="shared" si="25"/>
        <v>Q2019-2</v>
      </c>
      <c r="P119">
        <f t="shared" si="26"/>
        <v>-1.5210449979942729E-2</v>
      </c>
      <c r="Q119">
        <f t="shared" si="27"/>
        <v>1.3804105500748204E-2</v>
      </c>
      <c r="R119">
        <f t="shared" si="28"/>
        <v>-1.4063444791946322E-3</v>
      </c>
    </row>
    <row r="120" spans="1:18" x14ac:dyDescent="0.35">
      <c r="A120" s="1">
        <v>2019</v>
      </c>
      <c r="B120" s="1">
        <v>3</v>
      </c>
      <c r="C120" s="2">
        <v>100375.256908985</v>
      </c>
      <c r="D120" s="2">
        <v>81892.479901700033</v>
      </c>
      <c r="E120" s="3">
        <v>100.655641483959</v>
      </c>
      <c r="F120" s="2">
        <v>182267.73681068499</v>
      </c>
      <c r="G120">
        <f t="shared" si="29"/>
        <v>1810.8049794678634</v>
      </c>
      <c r="H120">
        <f t="shared" si="30"/>
        <v>45.224350954549266</v>
      </c>
      <c r="I120">
        <f t="shared" si="31"/>
        <v>55.43129052940975</v>
      </c>
      <c r="J120">
        <f t="shared" si="32"/>
        <v>-2.2674939072427386E-3</v>
      </c>
      <c r="K120" s="4">
        <f t="shared" si="33"/>
        <v>-4.3913277888241245E-3</v>
      </c>
      <c r="L120">
        <f t="shared" si="22"/>
        <v>2.8224937279778812</v>
      </c>
      <c r="M120">
        <f t="shared" si="23"/>
        <v>-1.8224937279773372</v>
      </c>
      <c r="N120">
        <f t="shared" si="24"/>
        <v>1.000000000000544</v>
      </c>
      <c r="O120" t="str">
        <f t="shared" si="25"/>
        <v>Q2019-3</v>
      </c>
      <c r="P120">
        <f t="shared" si="26"/>
        <v>-1.239449514145107E-2</v>
      </c>
      <c r="Q120">
        <f t="shared" si="27"/>
        <v>8.0031673526245566E-3</v>
      </c>
      <c r="R120">
        <f t="shared" si="28"/>
        <v>-4.3913277888241176E-3</v>
      </c>
    </row>
    <row r="121" spans="1:18" x14ac:dyDescent="0.35">
      <c r="A121" s="1">
        <v>2019</v>
      </c>
      <c r="B121" s="1">
        <v>4</v>
      </c>
      <c r="C121" s="2">
        <v>105179.173786377</v>
      </c>
      <c r="D121" s="2">
        <v>81301.499003880992</v>
      </c>
      <c r="E121" s="3">
        <v>100.267387141177</v>
      </c>
      <c r="F121" s="2">
        <v>186480.67279025799</v>
      </c>
      <c r="G121">
        <f t="shared" si="29"/>
        <v>1859.8337715501875</v>
      </c>
      <c r="H121">
        <f t="shared" si="30"/>
        <v>43.714390096333979</v>
      </c>
      <c r="I121">
        <f t="shared" si="31"/>
        <v>56.552997044843018</v>
      </c>
      <c r="J121">
        <f t="shared" si="32"/>
        <v>-3.8572536726009495E-3</v>
      </c>
      <c r="K121" s="4">
        <f t="shared" si="33"/>
        <v>-6.3152036439335195E-3</v>
      </c>
      <c r="L121">
        <f t="shared" si="22"/>
        <v>2.3548323803794986</v>
      </c>
      <c r="M121">
        <f t="shared" si="23"/>
        <v>-1.3548323803790192</v>
      </c>
      <c r="N121">
        <f t="shared" si="24"/>
        <v>1.0000000000004794</v>
      </c>
      <c r="O121" t="str">
        <f t="shared" si="25"/>
        <v>Q2019-4</v>
      </c>
      <c r="P121">
        <f t="shared" si="26"/>
        <v>-1.4871246029425253E-2</v>
      </c>
      <c r="Q121">
        <f t="shared" si="27"/>
        <v>8.5560423854887067E-3</v>
      </c>
      <c r="R121">
        <f t="shared" si="28"/>
        <v>-6.3152036439335646E-3</v>
      </c>
    </row>
    <row r="122" spans="1:18" x14ac:dyDescent="0.35">
      <c r="A122" s="1">
        <v>2020</v>
      </c>
      <c r="B122" s="1">
        <v>1</v>
      </c>
      <c r="C122" s="2">
        <v>114761.62098336501</v>
      </c>
      <c r="D122" s="2">
        <v>63651.883988880596</v>
      </c>
      <c r="E122" s="3">
        <v>100.198054621894</v>
      </c>
      <c r="F122" s="2">
        <v>178413.50497224601</v>
      </c>
      <c r="G122">
        <f t="shared" si="29"/>
        <v>1780.6084723451443</v>
      </c>
      <c r="H122">
        <f t="shared" si="30"/>
        <v>35.747265599072492</v>
      </c>
      <c r="I122">
        <f t="shared" si="31"/>
        <v>64.450789022821283</v>
      </c>
      <c r="J122">
        <f t="shared" si="32"/>
        <v>-6.9147627418847575E-4</v>
      </c>
      <c r="K122" s="4">
        <f t="shared" si="33"/>
        <v>-1.06955603798763E-2</v>
      </c>
      <c r="L122">
        <f t="shared" si="22"/>
        <v>1.7910618416936277</v>
      </c>
      <c r="M122">
        <f t="shared" si="23"/>
        <v>-0.7910618416933326</v>
      </c>
      <c r="N122">
        <f t="shared" si="24"/>
        <v>1.0000000000002951</v>
      </c>
      <c r="O122" t="str">
        <f t="shared" si="25"/>
        <v>Q2020-1</v>
      </c>
      <c r="P122">
        <f t="shared" si="26"/>
        <v>-1.9156410071926644E-2</v>
      </c>
      <c r="Q122">
        <f t="shared" si="27"/>
        <v>8.4608496920471864E-3</v>
      </c>
      <c r="R122">
        <f t="shared" si="28"/>
        <v>-1.069556037987629E-2</v>
      </c>
    </row>
    <row r="123" spans="1:18" x14ac:dyDescent="0.35">
      <c r="A123" s="1">
        <v>2020</v>
      </c>
      <c r="B123" s="1">
        <v>2</v>
      </c>
      <c r="C123" s="2">
        <v>96625.676888028305</v>
      </c>
      <c r="D123" s="2">
        <v>71395.382106375706</v>
      </c>
      <c r="E123" s="3">
        <v>99.709401077631199</v>
      </c>
      <c r="F123" s="2">
        <v>168021.05899440401</v>
      </c>
      <c r="G123">
        <f t="shared" si="29"/>
        <v>1685.1074941628333</v>
      </c>
      <c r="H123">
        <f t="shared" si="30"/>
        <v>42.368443766161725</v>
      </c>
      <c r="I123">
        <f t="shared" si="31"/>
        <v>57.340957311469467</v>
      </c>
      <c r="J123">
        <f t="shared" si="32"/>
        <v>-4.8768765631905658E-3</v>
      </c>
      <c r="K123" s="4">
        <f t="shared" si="33"/>
        <v>-1.1646946445152634E-2</v>
      </c>
      <c r="L123">
        <f t="shared" si="22"/>
        <v>1.4471446314904433</v>
      </c>
      <c r="M123">
        <f t="shared" si="23"/>
        <v>-0.44714463149037664</v>
      </c>
      <c r="N123">
        <f t="shared" si="24"/>
        <v>1.0000000000000666</v>
      </c>
      <c r="O123" t="str">
        <f t="shared" si="25"/>
        <v>Q2020-2</v>
      </c>
      <c r="P123">
        <f t="shared" si="26"/>
        <v>-1.6854816021359336E-2</v>
      </c>
      <c r="Q123">
        <f t="shared" si="27"/>
        <v>5.2078695762059262E-3</v>
      </c>
      <c r="R123">
        <f t="shared" si="28"/>
        <v>-1.1646946445152628E-2</v>
      </c>
    </row>
    <row r="124" spans="1:18" x14ac:dyDescent="0.35">
      <c r="A124" s="1">
        <v>2020</v>
      </c>
      <c r="B124" s="1">
        <v>3</v>
      </c>
      <c r="C124" s="2">
        <v>99991.849657141705</v>
      </c>
      <c r="D124" s="2">
        <v>78495.105474305252</v>
      </c>
      <c r="E124" s="3">
        <v>99.978384189131901</v>
      </c>
      <c r="F124" s="2">
        <v>178486.955131447</v>
      </c>
      <c r="G124">
        <f t="shared" si="29"/>
        <v>1785.2554487557854</v>
      </c>
      <c r="H124">
        <f t="shared" si="30"/>
        <v>43.96855672896087</v>
      </c>
      <c r="I124">
        <f t="shared" si="31"/>
        <v>56.00982746017101</v>
      </c>
      <c r="J124">
        <f t="shared" si="32"/>
        <v>2.697670516456909E-3</v>
      </c>
      <c r="K124" s="4">
        <f t="shared" si="33"/>
        <v>-6.7284583838754007E-3</v>
      </c>
      <c r="L124">
        <f t="shared" si="22"/>
        <v>1.8542350672043955</v>
      </c>
      <c r="M124">
        <f t="shared" si="23"/>
        <v>-0.85423506720434306</v>
      </c>
      <c r="N124">
        <f t="shared" si="24"/>
        <v>1.0000000000000524</v>
      </c>
      <c r="O124" t="str">
        <f t="shared" si="25"/>
        <v>Q2020-3</v>
      </c>
      <c r="P124">
        <f t="shared" si="26"/>
        <v>-1.2476143483607182E-2</v>
      </c>
      <c r="Q124">
        <f t="shared" si="27"/>
        <v>5.7476850997314286E-3</v>
      </c>
      <c r="R124">
        <f t="shared" si="28"/>
        <v>-6.7284583838753687E-3</v>
      </c>
    </row>
    <row r="125" spans="1:18" x14ac:dyDescent="0.35">
      <c r="A125" s="1">
        <v>2020</v>
      </c>
      <c r="B125" s="1">
        <v>4</v>
      </c>
      <c r="C125" s="2">
        <v>103659.127877304</v>
      </c>
      <c r="D125" s="2">
        <v>81273.950924514007</v>
      </c>
      <c r="E125" s="3">
        <v>100.095055664722</v>
      </c>
      <c r="F125" s="2">
        <v>184933.07880181799</v>
      </c>
      <c r="G125">
        <f t="shared" si="29"/>
        <v>1847.5745637353866</v>
      </c>
      <c r="H125">
        <f t="shared" si="30"/>
        <v>43.989537699737582</v>
      </c>
      <c r="I125">
        <f t="shared" si="31"/>
        <v>56.105517964984422</v>
      </c>
      <c r="J125">
        <f t="shared" si="32"/>
        <v>1.1669670052817098E-3</v>
      </c>
      <c r="K125" s="4">
        <f t="shared" si="33"/>
        <v>-1.7187191306018185E-3</v>
      </c>
      <c r="L125">
        <f t="shared" si="22"/>
        <v>-1.5966183837312591</v>
      </c>
      <c r="M125">
        <f t="shared" si="23"/>
        <v>2.5966183837312178</v>
      </c>
      <c r="N125">
        <f t="shared" si="24"/>
        <v>0.9999999999999587</v>
      </c>
      <c r="O125" t="str">
        <f t="shared" si="25"/>
        <v>Q2020-4</v>
      </c>
      <c r="P125">
        <f t="shared" si="26"/>
        <v>2.7441385603894702E-3</v>
      </c>
      <c r="Q125">
        <f t="shared" si="27"/>
        <v>-4.462857690991218E-3</v>
      </c>
      <c r="R125">
        <f t="shared" si="28"/>
        <v>-1.7187191306018423E-3</v>
      </c>
    </row>
    <row r="126" spans="1:18" x14ac:dyDescent="0.35">
      <c r="A126" s="1">
        <v>2021</v>
      </c>
      <c r="B126" s="1">
        <v>1</v>
      </c>
      <c r="C126" s="2">
        <v>114563.20469317101</v>
      </c>
      <c r="D126" s="2">
        <v>66913.420783846494</v>
      </c>
      <c r="E126" s="3">
        <v>100.88935379745099</v>
      </c>
      <c r="F126" s="2">
        <v>181476.62547701801</v>
      </c>
      <c r="G126">
        <f t="shared" si="29"/>
        <v>1798.7688358214371</v>
      </c>
      <c r="H126">
        <f t="shared" si="30"/>
        <v>37.199566420823267</v>
      </c>
      <c r="I126">
        <f t="shared" si="31"/>
        <v>63.689787376627443</v>
      </c>
      <c r="J126">
        <f t="shared" si="32"/>
        <v>7.9354382437187999E-3</v>
      </c>
      <c r="K126" s="4">
        <f t="shared" si="33"/>
        <v>6.8993273189351728E-3</v>
      </c>
      <c r="L126">
        <f t="shared" si="22"/>
        <v>2.1008282276347727</v>
      </c>
      <c r="M126">
        <f t="shared" si="23"/>
        <v>-1.1008282276348551</v>
      </c>
      <c r="N126">
        <f t="shared" si="24"/>
        <v>0.99999999999991762</v>
      </c>
      <c r="O126" t="str">
        <f t="shared" si="25"/>
        <v>Q2021-1</v>
      </c>
      <c r="P126">
        <f t="shared" si="26"/>
        <v>1.4494301583310748E-2</v>
      </c>
      <c r="Q126">
        <f t="shared" si="27"/>
        <v>-7.5949742643761434E-3</v>
      </c>
      <c r="R126">
        <f t="shared" si="28"/>
        <v>6.8993273189352777E-3</v>
      </c>
    </row>
    <row r="127" spans="1:18" x14ac:dyDescent="0.35">
      <c r="A127" s="1">
        <v>2021</v>
      </c>
      <c r="B127" s="1">
        <v>2</v>
      </c>
      <c r="C127" s="2">
        <v>104843.072205163</v>
      </c>
      <c r="D127" s="2">
        <v>85673.80332094623</v>
      </c>
      <c r="E127" s="3">
        <v>101.75668444406</v>
      </c>
      <c r="F127" s="2">
        <v>190516.87552611</v>
      </c>
      <c r="G127">
        <f t="shared" si="29"/>
        <v>1872.2787261297342</v>
      </c>
      <c r="H127">
        <f t="shared" si="30"/>
        <v>45.759107404935449</v>
      </c>
      <c r="I127">
        <f t="shared" si="31"/>
        <v>55.997577039124138</v>
      </c>
      <c r="J127">
        <f t="shared" si="32"/>
        <v>8.5968500536765143E-3</v>
      </c>
      <c r="K127" s="4">
        <f t="shared" si="33"/>
        <v>2.0532500890611486E-2</v>
      </c>
      <c r="L127">
        <f t="shared" si="22"/>
        <v>1.6561770072348423</v>
      </c>
      <c r="M127">
        <f t="shared" si="23"/>
        <v>-0.65617700723504013</v>
      </c>
      <c r="N127">
        <f t="shared" si="24"/>
        <v>0.99999999999980216</v>
      </c>
      <c r="O127" t="str">
        <f t="shared" si="25"/>
        <v>Q2021-2</v>
      </c>
      <c r="P127">
        <f t="shared" si="26"/>
        <v>3.4005455876059666E-2</v>
      </c>
      <c r="Q127">
        <f t="shared" si="27"/>
        <v>-1.3472954985452241E-2</v>
      </c>
      <c r="R127">
        <f t="shared" si="28"/>
        <v>2.0532500890611427E-2</v>
      </c>
    </row>
    <row r="128" spans="1:18" x14ac:dyDescent="0.35">
      <c r="A128" s="1">
        <v>2021</v>
      </c>
      <c r="B128" s="1">
        <v>3</v>
      </c>
      <c r="C128" s="2">
        <v>105075.11788510501</v>
      </c>
      <c r="D128" s="2">
        <v>89512.789322119424</v>
      </c>
      <c r="E128" s="3">
        <v>102.161977610747</v>
      </c>
      <c r="F128" s="2">
        <v>194587.90720722399</v>
      </c>
      <c r="G128">
        <f t="shared" si="29"/>
        <v>1904.6998869641516</v>
      </c>
      <c r="H128">
        <f t="shared" si="30"/>
        <v>46.995744544717425</v>
      </c>
      <c r="I128">
        <f t="shared" si="31"/>
        <v>55.166233066029804</v>
      </c>
      <c r="J128">
        <f t="shared" si="32"/>
        <v>3.9829635655022674E-3</v>
      </c>
      <c r="K128" s="4">
        <f t="shared" si="33"/>
        <v>2.1840655250882388E-2</v>
      </c>
      <c r="L128">
        <f t="shared" si="22"/>
        <v>1.3863330901214606</v>
      </c>
      <c r="M128">
        <f t="shared" si="23"/>
        <v>-0.3863330901213467</v>
      </c>
      <c r="N128">
        <f t="shared" si="24"/>
        <v>1.0000000000001139</v>
      </c>
      <c r="O128" t="str">
        <f t="shared" si="25"/>
        <v>Q2021-3</v>
      </c>
      <c r="P128">
        <f t="shared" si="26"/>
        <v>3.0278423084233286E-2</v>
      </c>
      <c r="Q128">
        <f t="shared" si="27"/>
        <v>-8.4377678333484099E-3</v>
      </c>
      <c r="R128">
        <f t="shared" si="28"/>
        <v>2.1840655250882302E-2</v>
      </c>
    </row>
    <row r="129" spans="1:18" x14ac:dyDescent="0.35">
      <c r="A129" s="1">
        <v>2021</v>
      </c>
      <c r="B129" s="1">
        <v>4</v>
      </c>
      <c r="C129" s="2">
        <v>109611.61527187499</v>
      </c>
      <c r="D129" s="2">
        <v>92086.328991388946</v>
      </c>
      <c r="E129" s="3">
        <v>102.84305045078401</v>
      </c>
      <c r="F129" s="2">
        <v>201697.94426326401</v>
      </c>
      <c r="G129">
        <f t="shared" si="29"/>
        <v>1961.2209418057612</v>
      </c>
      <c r="H129">
        <f t="shared" si="30"/>
        <v>46.953572149093006</v>
      </c>
      <c r="I129">
        <f t="shared" si="31"/>
        <v>55.889478301690957</v>
      </c>
      <c r="J129">
        <f t="shared" si="32"/>
        <v>6.666598043275916E-3</v>
      </c>
      <c r="K129" s="4">
        <f t="shared" si="33"/>
        <v>2.7453851419661338E-2</v>
      </c>
      <c r="L129">
        <f t="shared" si="22"/>
        <v>1.0786172027651513</v>
      </c>
      <c r="M129">
        <f t="shared" si="23"/>
        <v>-7.8617202765169286E-2</v>
      </c>
      <c r="N129">
        <f t="shared" si="24"/>
        <v>0.99999999999998201</v>
      </c>
      <c r="O129" t="str">
        <f t="shared" si="25"/>
        <v>Q2021-4</v>
      </c>
      <c r="P129">
        <f t="shared" si="26"/>
        <v>2.961219642340519E-2</v>
      </c>
      <c r="Q129">
        <f t="shared" si="27"/>
        <v>-2.1583450037443463E-3</v>
      </c>
      <c r="R129">
        <f t="shared" si="28"/>
        <v>2.745385141966139E-2</v>
      </c>
    </row>
    <row r="130" spans="1:18" x14ac:dyDescent="0.35">
      <c r="A130" s="1">
        <v>2022</v>
      </c>
      <c r="B130" s="1">
        <v>1</v>
      </c>
      <c r="C130" s="2">
        <v>125537.827953345</v>
      </c>
      <c r="D130" s="2">
        <v>74099.592557976779</v>
      </c>
      <c r="E130" s="3">
        <v>104.390068039613</v>
      </c>
      <c r="F130" s="2">
        <v>199637.42051132201</v>
      </c>
      <c r="G130">
        <f t="shared" ref="G130:G146" si="34">F130/(E130)</f>
        <v>1912.4177640689477</v>
      </c>
      <c r="H130">
        <f t="shared" ref="H130:H146" si="35">D130/G130</f>
        <v>38.746551067544516</v>
      </c>
      <c r="I130">
        <f t="shared" ref="I130:I146" si="36">C130/G130</f>
        <v>65.643516972068369</v>
      </c>
      <c r="J130">
        <f t="shared" si="32"/>
        <v>1.5042509747115339E-2</v>
      </c>
      <c r="K130" s="4">
        <f t="shared" si="33"/>
        <v>3.4698549553505528E-2</v>
      </c>
      <c r="L130">
        <f t="shared" si="22"/>
        <v>0.44190543406532024</v>
      </c>
      <c r="M130">
        <f t="shared" si="23"/>
        <v>0.5580945659347285</v>
      </c>
      <c r="N130">
        <f t="shared" si="24"/>
        <v>1.0000000000000488</v>
      </c>
      <c r="O130" t="str">
        <f t="shared" si="25"/>
        <v>Q2022-1</v>
      </c>
      <c r="P130">
        <f t="shared" si="26"/>
        <v>1.5333477601878883E-2</v>
      </c>
      <c r="Q130">
        <f t="shared" si="27"/>
        <v>1.9365071951628336E-2</v>
      </c>
      <c r="R130">
        <f t="shared" si="28"/>
        <v>3.4698549553505487E-2</v>
      </c>
    </row>
    <row r="131" spans="1:18" x14ac:dyDescent="0.35">
      <c r="A131" s="1">
        <v>2022</v>
      </c>
      <c r="B131" s="1">
        <v>2</v>
      </c>
      <c r="C131" s="2">
        <v>111511.94221600299</v>
      </c>
      <c r="D131" s="2">
        <v>92695.348297311109</v>
      </c>
      <c r="E131" s="3">
        <v>104.868628805702</v>
      </c>
      <c r="F131" s="2">
        <v>204207.29051331399</v>
      </c>
      <c r="G131">
        <f t="shared" si="34"/>
        <v>1947.2676704075552</v>
      </c>
      <c r="H131">
        <f t="shared" si="35"/>
        <v>47.60277680669877</v>
      </c>
      <c r="I131">
        <f t="shared" si="36"/>
        <v>57.265851999003303</v>
      </c>
      <c r="J131">
        <f t="shared" ref="J131:J146" si="37">(E131-E130)/E130</f>
        <v>4.5843515104080947E-3</v>
      </c>
      <c r="K131" s="4">
        <f t="shared" si="33"/>
        <v>3.0582210678776308E-2</v>
      </c>
      <c r="L131">
        <f t="shared" si="22"/>
        <v>0.59244934597433418</v>
      </c>
      <c r="M131">
        <f t="shared" si="23"/>
        <v>0.40755065402582108</v>
      </c>
      <c r="N131">
        <f t="shared" si="24"/>
        <v>1.0000000000001552</v>
      </c>
      <c r="O131" t="str">
        <f t="shared" si="25"/>
        <v>Q2022-2</v>
      </c>
      <c r="P131">
        <f t="shared" si="26"/>
        <v>1.8118410715090322E-2</v>
      </c>
      <c r="Q131">
        <f t="shared" si="27"/>
        <v>1.2463799963690734E-2</v>
      </c>
      <c r="R131">
        <f t="shared" si="28"/>
        <v>3.0582210678776311E-2</v>
      </c>
    </row>
    <row r="132" spans="1:18" x14ac:dyDescent="0.35">
      <c r="A132" s="1">
        <v>2022</v>
      </c>
      <c r="B132" s="1">
        <v>3</v>
      </c>
      <c r="C132" s="2">
        <v>108518.36390904</v>
      </c>
      <c r="D132" s="2">
        <v>96599.579733127597</v>
      </c>
      <c r="E132" s="3">
        <v>105.26667613894</v>
      </c>
      <c r="F132" s="2">
        <v>205117.94364216799</v>
      </c>
      <c r="G132">
        <f t="shared" si="34"/>
        <v>1948.5553374121523</v>
      </c>
      <c r="H132">
        <f t="shared" si="35"/>
        <v>49.574973765651471</v>
      </c>
      <c r="I132">
        <f t="shared" si="36"/>
        <v>55.691702373288322</v>
      </c>
      <c r="J132">
        <f t="shared" si="37"/>
        <v>3.7956759592565042E-3</v>
      </c>
      <c r="K132" s="4">
        <f t="shared" si="33"/>
        <v>3.0389961126461168E-2</v>
      </c>
      <c r="L132">
        <f t="shared" si="22"/>
        <v>0.8307502958862848</v>
      </c>
      <c r="M132">
        <f t="shared" si="23"/>
        <v>0.16924970411357554</v>
      </c>
      <c r="N132">
        <f t="shared" si="24"/>
        <v>0.99999999999986033</v>
      </c>
      <c r="O132" t="str">
        <f t="shared" si="25"/>
        <v>Q2022-3</v>
      </c>
      <c r="P132">
        <f t="shared" si="26"/>
        <v>2.5246469197780307E-2</v>
      </c>
      <c r="Q132">
        <f t="shared" si="27"/>
        <v>5.1434919286766157E-3</v>
      </c>
      <c r="R132">
        <f t="shared" si="28"/>
        <v>3.0389961126461085E-2</v>
      </c>
    </row>
    <row r="133" spans="1:18" x14ac:dyDescent="0.35">
      <c r="A133" s="1">
        <v>2022</v>
      </c>
      <c r="B133" s="1">
        <v>4</v>
      </c>
      <c r="C133" s="2">
        <v>114121.126403061</v>
      </c>
      <c r="D133" s="2">
        <v>96619.905649659151</v>
      </c>
      <c r="E133" s="3">
        <v>105.628941862121</v>
      </c>
      <c r="F133" s="2">
        <v>210741.03205271999</v>
      </c>
      <c r="G133">
        <f t="shared" si="34"/>
        <v>1995.1069123441882</v>
      </c>
      <c r="H133">
        <f t="shared" si="35"/>
        <v>48.428435113852515</v>
      </c>
      <c r="I133">
        <f t="shared" si="36"/>
        <v>57.200506748268566</v>
      </c>
      <c r="J133">
        <f t="shared" si="37"/>
        <v>3.4414093468938573E-3</v>
      </c>
      <c r="K133" s="4">
        <f t="shared" si="33"/>
        <v>2.7088766806564059E-2</v>
      </c>
      <c r="L133">
        <f t="shared" si="22"/>
        <v>0.52940432593950271</v>
      </c>
      <c r="M133">
        <f t="shared" si="23"/>
        <v>0.47059567406054315</v>
      </c>
      <c r="N133">
        <f t="shared" si="24"/>
        <v>1.0000000000000457</v>
      </c>
      <c r="O133" t="str">
        <f t="shared" si="25"/>
        <v>Q2022-4</v>
      </c>
      <c r="P133">
        <f t="shared" si="26"/>
        <v>1.4340910331761421E-2</v>
      </c>
      <c r="Q133">
        <f t="shared" si="27"/>
        <v>1.274785647480388E-2</v>
      </c>
      <c r="R133">
        <f t="shared" si="28"/>
        <v>2.7088766806564024E-2</v>
      </c>
    </row>
    <row r="134" spans="1:18" x14ac:dyDescent="0.35">
      <c r="A134" s="1">
        <v>2023</v>
      </c>
      <c r="B134" s="1">
        <v>1</v>
      </c>
      <c r="C134" s="2">
        <v>130384.27475401</v>
      </c>
      <c r="D134" s="2">
        <v>77008.303176428977</v>
      </c>
      <c r="E134" s="3">
        <v>106.518144715182</v>
      </c>
      <c r="F134" s="2">
        <v>207392.577930439</v>
      </c>
      <c r="G134">
        <f t="shared" si="34"/>
        <v>1947.0164307215857</v>
      </c>
      <c r="H134">
        <f t="shared" si="35"/>
        <v>39.551953420284619</v>
      </c>
      <c r="I134">
        <f t="shared" si="36"/>
        <v>66.966191294897371</v>
      </c>
      <c r="J134">
        <f t="shared" si="37"/>
        <v>8.4181743884332114E-3</v>
      </c>
      <c r="K134" s="4">
        <f t="shared" ref="K134:K146" si="38">(E134-E130)/E130</f>
        <v>2.0385815581243437E-2</v>
      </c>
      <c r="L134">
        <f t="shared" si="22"/>
        <v>0.37846491246597319</v>
      </c>
      <c r="M134">
        <f t="shared" si="23"/>
        <v>0.62153508753407349</v>
      </c>
      <c r="N134">
        <f t="shared" si="24"/>
        <v>1.0000000000000466</v>
      </c>
      <c r="O134" t="str">
        <f t="shared" si="25"/>
        <v>Q2023-1</v>
      </c>
      <c r="P134">
        <f t="shared" si="26"/>
        <v>7.7153159095027695E-3</v>
      </c>
      <c r="Q134">
        <f t="shared" si="27"/>
        <v>1.2670499671741619E-2</v>
      </c>
      <c r="R134">
        <f t="shared" si="28"/>
        <v>2.0385815581243527E-2</v>
      </c>
    </row>
    <row r="135" spans="1:18" x14ac:dyDescent="0.35">
      <c r="A135" s="1">
        <v>2023</v>
      </c>
      <c r="B135" s="1">
        <v>2</v>
      </c>
      <c r="C135" s="2">
        <v>115715.501093539</v>
      </c>
      <c r="D135" s="2">
        <v>92049.364782622375</v>
      </c>
      <c r="E135" s="3">
        <v>106.096186758527</v>
      </c>
      <c r="F135" s="2">
        <v>207764.86587616199</v>
      </c>
      <c r="G135">
        <f t="shared" si="34"/>
        <v>1958.2689276951212</v>
      </c>
      <c r="H135">
        <f t="shared" si="35"/>
        <v>47.005476868268701</v>
      </c>
      <c r="I135">
        <f t="shared" si="36"/>
        <v>59.09070989025799</v>
      </c>
      <c r="J135">
        <f t="shared" si="37"/>
        <v>-3.9613716309392791E-3</v>
      </c>
      <c r="K135" s="4">
        <f t="shared" si="38"/>
        <v>1.1705673725355787E-2</v>
      </c>
      <c r="L135">
        <f t="shared" ref="L135:L146" si="39">(H135-H131)/(E135-E131)</f>
        <v>-0.48657575559304161</v>
      </c>
      <c r="M135">
        <f t="shared" ref="M135:M146" si="40">(I135-I131)/(E135-E131)</f>
        <v>1.4865757555927348</v>
      </c>
      <c r="N135">
        <f t="shared" ref="N135:N146" si="41">M135+L135</f>
        <v>0.99999999999969313</v>
      </c>
      <c r="O135" t="str">
        <f t="shared" ref="O135:O146" si="42">"Q"&amp;A135&amp;"-"&amp;B135</f>
        <v>Q2023-2</v>
      </c>
      <c r="P135">
        <f t="shared" ref="P135:P146" si="43">L135*K135</f>
        <v>-5.6956970376406063E-3</v>
      </c>
      <c r="Q135">
        <f t="shared" ref="Q135:Q146" si="44">M135*K135</f>
        <v>1.7401370762992804E-2</v>
      </c>
      <c r="R135">
        <f t="shared" ref="R135:R146" si="45">E135/E131-1</f>
        <v>1.1705673725355803E-2</v>
      </c>
    </row>
    <row r="136" spans="1:18" x14ac:dyDescent="0.35">
      <c r="A136" s="1">
        <v>2023</v>
      </c>
      <c r="B136" s="1">
        <v>3</v>
      </c>
      <c r="C136" s="2">
        <v>112868.93316947699</v>
      </c>
      <c r="D136" s="2">
        <v>94424.434650371957</v>
      </c>
      <c r="E136" s="3">
        <v>106.040058208779</v>
      </c>
      <c r="F136" s="2">
        <v>207293.36781984899</v>
      </c>
      <c r="G136">
        <f t="shared" si="34"/>
        <v>1954.8590534693546</v>
      </c>
      <c r="H136">
        <f t="shared" si="35"/>
        <v>48.302425938480688</v>
      </c>
      <c r="I136">
        <f t="shared" si="36"/>
        <v>57.737632270298299</v>
      </c>
      <c r="J136">
        <f t="shared" si="37"/>
        <v>-5.2903456253091655E-4</v>
      </c>
      <c r="K136" s="4">
        <f t="shared" si="38"/>
        <v>7.346884106212548E-3</v>
      </c>
      <c r="L136">
        <f t="shared" si="39"/>
        <v>-1.6454322860571287</v>
      </c>
      <c r="M136">
        <f t="shared" si="40"/>
        <v>2.6454322860573769</v>
      </c>
      <c r="N136">
        <f t="shared" si="41"/>
        <v>1.0000000000002482</v>
      </c>
      <c r="O136" t="str">
        <f t="shared" si="42"/>
        <v>Q2023-3</v>
      </c>
      <c r="P136">
        <f t="shared" si="43"/>
        <v>-1.2088800310282097E-2</v>
      </c>
      <c r="Q136">
        <f t="shared" si="44"/>
        <v>1.9435684416496467E-2</v>
      </c>
      <c r="R136">
        <f t="shared" si="45"/>
        <v>7.3468841062125367E-3</v>
      </c>
    </row>
    <row r="137" spans="1:18" x14ac:dyDescent="0.35">
      <c r="A137" s="1">
        <v>2023</v>
      </c>
      <c r="B137" s="1">
        <v>4</v>
      </c>
      <c r="C137" s="2">
        <v>117629.022093826</v>
      </c>
      <c r="D137" s="2">
        <v>94109.977568638991</v>
      </c>
      <c r="E137" s="3">
        <v>105.467423335882</v>
      </c>
      <c r="F137" s="2">
        <v>211738.99966246501</v>
      </c>
      <c r="G137">
        <f t="shared" si="34"/>
        <v>2007.6246575982047</v>
      </c>
      <c r="H137">
        <f t="shared" si="35"/>
        <v>46.876280988312935</v>
      </c>
      <c r="I137">
        <f t="shared" si="36"/>
        <v>58.591142347569054</v>
      </c>
      <c r="J137">
        <f t="shared" si="37"/>
        <v>-5.4001750147058105E-3</v>
      </c>
      <c r="K137" s="4">
        <f t="shared" si="38"/>
        <v>-1.529112413620742E-3</v>
      </c>
      <c r="L137">
        <f t="shared" si="39"/>
        <v>9.6097590888299482</v>
      </c>
      <c r="M137">
        <f t="shared" si="40"/>
        <v>-8.6097590888293318</v>
      </c>
      <c r="N137">
        <f t="shared" si="41"/>
        <v>1.0000000000006164</v>
      </c>
      <c r="O137" t="str">
        <f t="shared" si="42"/>
        <v>Q2023-4</v>
      </c>
      <c r="P137">
        <f t="shared" si="43"/>
        <v>-1.4694401914634624E-2</v>
      </c>
      <c r="Q137">
        <f t="shared" si="44"/>
        <v>1.316528950101294E-2</v>
      </c>
      <c r="R137">
        <f t="shared" si="45"/>
        <v>-1.5291124136207479E-3</v>
      </c>
    </row>
    <row r="138" spans="1:18" x14ac:dyDescent="0.35">
      <c r="A138" s="1">
        <v>2024</v>
      </c>
      <c r="B138" s="1">
        <v>1</v>
      </c>
      <c r="C138" s="2">
        <v>134770.94528651901</v>
      </c>
      <c r="D138" s="2">
        <v>74046.764321704977</v>
      </c>
      <c r="E138" s="3">
        <v>107.048324213736</v>
      </c>
      <c r="F138" s="2">
        <v>208817.70960822399</v>
      </c>
      <c r="G138">
        <f t="shared" si="34"/>
        <v>1950.6863945977527</v>
      </c>
      <c r="H138">
        <f t="shared" si="35"/>
        <v>37.959338070317557</v>
      </c>
      <c r="I138">
        <f t="shared" si="36"/>
        <v>69.088986143418438</v>
      </c>
      <c r="J138">
        <f t="shared" si="37"/>
        <v>1.4989470946107201E-2</v>
      </c>
      <c r="K138" s="4">
        <f t="shared" si="38"/>
        <v>4.9773632461552345E-3</v>
      </c>
      <c r="L138">
        <f t="shared" si="39"/>
        <v>-3.0039172663423468</v>
      </c>
      <c r="M138">
        <f t="shared" si="40"/>
        <v>4.0039172663423734</v>
      </c>
      <c r="N138">
        <f t="shared" si="41"/>
        <v>1.0000000000000266</v>
      </c>
      <c r="O138" t="str">
        <f t="shared" si="42"/>
        <v>Q2024-1</v>
      </c>
      <c r="P138">
        <f t="shared" si="43"/>
        <v>-1.4951587395983502E-2</v>
      </c>
      <c r="Q138">
        <f t="shared" si="44"/>
        <v>1.9928950642138867E-2</v>
      </c>
      <c r="R138">
        <f t="shared" si="45"/>
        <v>4.9773632461551642E-3</v>
      </c>
    </row>
    <row r="139" spans="1:18" x14ac:dyDescent="0.35">
      <c r="A139" s="1">
        <v>2024</v>
      </c>
      <c r="B139" s="1">
        <v>2</v>
      </c>
      <c r="C139" s="2">
        <v>120271.925644635</v>
      </c>
      <c r="D139" s="2">
        <v>92888.439831089694</v>
      </c>
      <c r="E139" s="3">
        <v>106.844402494081</v>
      </c>
      <c r="F139" s="2">
        <v>213160.36547572399</v>
      </c>
      <c r="G139">
        <f t="shared" si="34"/>
        <v>1995.0541207578256</v>
      </c>
      <c r="H139">
        <f t="shared" si="35"/>
        <v>46.559358397658819</v>
      </c>
      <c r="I139">
        <f t="shared" si="36"/>
        <v>60.285044096422538</v>
      </c>
      <c r="J139">
        <f t="shared" si="37"/>
        <v>-1.9049501349301221E-3</v>
      </c>
      <c r="K139" s="4">
        <f t="shared" si="38"/>
        <v>7.0522396554828469E-3</v>
      </c>
      <c r="L139">
        <f t="shared" si="39"/>
        <v>-0.59624310130227931</v>
      </c>
      <c r="M139">
        <f t="shared" si="40"/>
        <v>1.5962431013031719</v>
      </c>
      <c r="N139">
        <f t="shared" si="41"/>
        <v>1.0000000000008926</v>
      </c>
      <c r="O139" t="str">
        <f t="shared" si="42"/>
        <v>Q2024-2</v>
      </c>
      <c r="P139">
        <f t="shared" si="43"/>
        <v>-4.2048492433120104E-3</v>
      </c>
      <c r="Q139">
        <f t="shared" si="44"/>
        <v>1.1257088898801152E-2</v>
      </c>
      <c r="R139">
        <f t="shared" si="45"/>
        <v>7.0522396554828504E-3</v>
      </c>
    </row>
    <row r="140" spans="1:18" x14ac:dyDescent="0.35">
      <c r="A140" s="1">
        <v>2024</v>
      </c>
      <c r="B140" s="1">
        <v>3</v>
      </c>
      <c r="C140" s="2">
        <v>116284.196975094</v>
      </c>
      <c r="D140" s="2">
        <v>97748.414516158518</v>
      </c>
      <c r="E140" s="3">
        <v>107.34422616431399</v>
      </c>
      <c r="F140" s="2">
        <v>214032.611491252</v>
      </c>
      <c r="G140">
        <f t="shared" si="34"/>
        <v>1993.8903016882148</v>
      </c>
      <c r="H140">
        <f t="shared" si="35"/>
        <v>49.023968085604075</v>
      </c>
      <c r="I140">
        <f t="shared" si="36"/>
        <v>58.320258078710189</v>
      </c>
      <c r="J140">
        <f t="shared" si="37"/>
        <v>4.6780519949155821E-3</v>
      </c>
      <c r="K140" s="4">
        <f t="shared" si="38"/>
        <v>1.2298823459406793E-2</v>
      </c>
      <c r="L140">
        <f t="shared" si="39"/>
        <v>0.55325860757512424</v>
      </c>
      <c r="M140">
        <f t="shared" si="40"/>
        <v>0.44674139242509375</v>
      </c>
      <c r="N140">
        <f t="shared" si="41"/>
        <v>1.000000000000218</v>
      </c>
      <c r="O140" t="str">
        <f t="shared" si="42"/>
        <v>Q2024-3</v>
      </c>
      <c r="P140">
        <f t="shared" si="43"/>
        <v>6.8044299419636745E-3</v>
      </c>
      <c r="Q140">
        <f t="shared" si="44"/>
        <v>5.4943935174457991E-3</v>
      </c>
      <c r="R140">
        <f t="shared" si="45"/>
        <v>1.2298823459406805E-2</v>
      </c>
    </row>
    <row r="141" spans="1:18" x14ac:dyDescent="0.35">
      <c r="A141" s="1">
        <v>2024</v>
      </c>
      <c r="B141" s="1">
        <v>4</v>
      </c>
      <c r="C141" s="2">
        <v>121288.370891987</v>
      </c>
      <c r="D141" s="2">
        <v>96657.927311733991</v>
      </c>
      <c r="E141" s="3">
        <v>106.96611744806501</v>
      </c>
      <c r="F141" s="2">
        <v>217946.298203721</v>
      </c>
      <c r="G141">
        <f t="shared" si="34"/>
        <v>2037.5264934668676</v>
      </c>
      <c r="H141">
        <f t="shared" si="35"/>
        <v>47.438856683168694</v>
      </c>
      <c r="I141">
        <f t="shared" si="36"/>
        <v>59.527260764896297</v>
      </c>
      <c r="J141">
        <f t="shared" si="37"/>
        <v>-3.5223945409994339E-3</v>
      </c>
      <c r="K141" s="4">
        <f t="shared" si="38"/>
        <v>1.4210019215223578E-2</v>
      </c>
      <c r="L141">
        <f t="shared" si="39"/>
        <v>0.37537726363407792</v>
      </c>
      <c r="M141">
        <f t="shared" si="40"/>
        <v>0.62462273636592203</v>
      </c>
      <c r="N141">
        <f t="shared" si="41"/>
        <v>1</v>
      </c>
      <c r="O141" t="str">
        <f t="shared" si="42"/>
        <v>Q2024-4</v>
      </c>
      <c r="P141">
        <f t="shared" si="43"/>
        <v>5.3341181291982941E-3</v>
      </c>
      <c r="Q141">
        <f t="shared" si="44"/>
        <v>8.8759010860252827E-3</v>
      </c>
      <c r="R141">
        <f t="shared" si="45"/>
        <v>1.4210019215223468E-2</v>
      </c>
    </row>
    <row r="142" spans="1:18" x14ac:dyDescent="0.35">
      <c r="A142" s="1">
        <v>2025</v>
      </c>
      <c r="B142" s="1">
        <v>1</v>
      </c>
      <c r="C142" s="2">
        <v>136379.96629608699</v>
      </c>
      <c r="D142" s="2">
        <v>79742.720818102593</v>
      </c>
      <c r="E142" s="3">
        <v>107.99803064721</v>
      </c>
      <c r="F142" s="2">
        <v>216122.687114189</v>
      </c>
      <c r="G142">
        <f t="shared" si="34"/>
        <v>2001.1724826740835</v>
      </c>
      <c r="H142">
        <f t="shared" si="35"/>
        <v>39.847999864332387</v>
      </c>
      <c r="I142">
        <f t="shared" si="36"/>
        <v>68.150030782877906</v>
      </c>
      <c r="J142">
        <f t="shared" si="37"/>
        <v>9.6471034357773836E-3</v>
      </c>
      <c r="K142" s="4">
        <f t="shared" si="38"/>
        <v>8.8717543263712624E-3</v>
      </c>
      <c r="L142">
        <f t="shared" si="39"/>
        <v>1.9886795829171602</v>
      </c>
      <c r="M142">
        <f t="shared" si="40"/>
        <v>-0.98867958291685332</v>
      </c>
      <c r="N142">
        <f t="shared" si="41"/>
        <v>1.0000000000003069</v>
      </c>
      <c r="O142" t="str">
        <f t="shared" si="42"/>
        <v>Q2025-1</v>
      </c>
      <c r="P142">
        <f t="shared" si="43"/>
        <v>1.7643076693511513E-2</v>
      </c>
      <c r="Q142">
        <f t="shared" si="44"/>
        <v>-8.7713223671375285E-3</v>
      </c>
      <c r="R142">
        <f t="shared" si="45"/>
        <v>8.8717543263712173E-3</v>
      </c>
    </row>
    <row r="143" spans="1:18" x14ac:dyDescent="0.35">
      <c r="A143" s="1">
        <v>2025</v>
      </c>
      <c r="B143" s="1">
        <v>2</v>
      </c>
      <c r="C143" s="2">
        <v>121189.853681088</v>
      </c>
      <c r="D143" s="2">
        <v>96418.444713505392</v>
      </c>
      <c r="E143" s="3">
        <v>107.570202953812</v>
      </c>
      <c r="F143" s="2">
        <v>217608.29839459399</v>
      </c>
      <c r="G143">
        <f t="shared" si="34"/>
        <v>2022.9421570212119</v>
      </c>
      <c r="H143">
        <f t="shared" si="35"/>
        <v>47.662482280502687</v>
      </c>
      <c r="I143">
        <f t="shared" si="36"/>
        <v>59.907720673309022</v>
      </c>
      <c r="J143">
        <f t="shared" si="37"/>
        <v>-3.9614397673190666E-3</v>
      </c>
      <c r="K143" s="4">
        <f t="shared" si="38"/>
        <v>6.793060214560262E-3</v>
      </c>
      <c r="L143">
        <f t="shared" si="39"/>
        <v>1.5198721191947242</v>
      </c>
      <c r="M143">
        <f t="shared" si="40"/>
        <v>-0.51987211919562493</v>
      </c>
      <c r="N143">
        <f t="shared" si="41"/>
        <v>0.99999999999909928</v>
      </c>
      <c r="O143" t="str">
        <f t="shared" si="42"/>
        <v>Q2025-2</v>
      </c>
      <c r="P143">
        <f t="shared" si="43"/>
        <v>1.0324582824121074E-2</v>
      </c>
      <c r="Q143">
        <f t="shared" si="44"/>
        <v>-3.53152260956693E-3</v>
      </c>
      <c r="R143">
        <f t="shared" si="45"/>
        <v>6.7930602145602759E-3</v>
      </c>
    </row>
    <row r="144" spans="1:18" x14ac:dyDescent="0.35">
      <c r="A144" s="1">
        <v>2025</v>
      </c>
      <c r="B144" s="1">
        <v>3</v>
      </c>
      <c r="C144" s="2">
        <v>119641.243615143</v>
      </c>
      <c r="D144" s="2">
        <v>95752.462108841137</v>
      </c>
      <c r="E144" s="3">
        <v>107.31355188363101</v>
      </c>
      <c r="F144" s="2">
        <v>215393.70572398399</v>
      </c>
      <c r="G144">
        <f t="shared" si="34"/>
        <v>2007.1435708097079</v>
      </c>
      <c r="H144">
        <f t="shared" si="35"/>
        <v>47.705836045506871</v>
      </c>
      <c r="I144">
        <f t="shared" si="36"/>
        <v>59.607715838124207</v>
      </c>
      <c r="J144">
        <f t="shared" si="37"/>
        <v>-2.3858937060032589E-3</v>
      </c>
      <c r="K144" s="4">
        <f t="shared" si="38"/>
        <v>-2.8575622349760705E-4</v>
      </c>
      <c r="L144">
        <f t="shared" si="39"/>
        <v>42.971897327270277</v>
      </c>
      <c r="M144">
        <f t="shared" si="40"/>
        <v>-41.971897327263797</v>
      </c>
      <c r="N144">
        <f t="shared" si="41"/>
        <v>1.0000000000064801</v>
      </c>
      <c r="O144" t="str">
        <f t="shared" si="42"/>
        <v>Q2025-3</v>
      </c>
      <c r="P144">
        <f t="shared" si="43"/>
        <v>-1.2279487096767669E-2</v>
      </c>
      <c r="Q144">
        <f t="shared" si="44"/>
        <v>1.1993730873268209E-2</v>
      </c>
      <c r="R144">
        <f t="shared" si="45"/>
        <v>-2.8575622349757968E-4</v>
      </c>
    </row>
    <row r="145" spans="1:18" x14ac:dyDescent="0.35">
      <c r="A145" s="1">
        <v>2025</v>
      </c>
      <c r="B145" s="1">
        <v>4</v>
      </c>
      <c r="C145" s="2">
        <v>122418.014561173</v>
      </c>
      <c r="D145" s="2">
        <v>96251.771904017092</v>
      </c>
      <c r="E145" s="3">
        <v>106.270375345321</v>
      </c>
      <c r="F145" s="2">
        <v>218669.78646519</v>
      </c>
      <c r="G145">
        <f t="shared" si="34"/>
        <v>2057.673982562233</v>
      </c>
      <c r="H145">
        <f t="shared" si="35"/>
        <v>46.776978627179595</v>
      </c>
      <c r="I145">
        <f t="shared" si="36"/>
        <v>59.493396718141447</v>
      </c>
      <c r="J145">
        <f t="shared" si="37"/>
        <v>-9.7208276121659824E-3</v>
      </c>
      <c r="K145" s="4">
        <f t="shared" si="38"/>
        <v>-6.5043222970283861E-3</v>
      </c>
      <c r="L145">
        <f t="shared" si="39"/>
        <v>0.95132672491524206</v>
      </c>
      <c r="M145">
        <f t="shared" si="40"/>
        <v>4.8673275084676254E-2</v>
      </c>
      <c r="N145">
        <f t="shared" si="41"/>
        <v>0.99999999999991829</v>
      </c>
      <c r="O145" t="str">
        <f t="shared" si="42"/>
        <v>Q2025-4</v>
      </c>
      <c r="P145">
        <f t="shared" si="43"/>
        <v>-6.1877356286251985E-3</v>
      </c>
      <c r="Q145">
        <f t="shared" si="44"/>
        <v>-3.1658666840265597E-4</v>
      </c>
      <c r="R145">
        <f t="shared" si="45"/>
        <v>-6.5043222970283532E-3</v>
      </c>
    </row>
    <row r="146" spans="1:18" x14ac:dyDescent="0.35">
      <c r="A146" s="1">
        <v>2026</v>
      </c>
      <c r="B146" s="1">
        <v>1</v>
      </c>
      <c r="C146" s="2">
        <v>137494.27801816401</v>
      </c>
      <c r="D146" s="2">
        <v>79131.34472774266</v>
      </c>
      <c r="E146" s="3">
        <v>107.736257902608</v>
      </c>
      <c r="F146" s="2">
        <v>216625.62274590699</v>
      </c>
      <c r="G146">
        <f t="shared" si="34"/>
        <v>2010.7030535786139</v>
      </c>
      <c r="H146">
        <f t="shared" si="35"/>
        <v>39.355062691582475</v>
      </c>
      <c r="I146">
        <f t="shared" si="36"/>
        <v>68.381195211025371</v>
      </c>
      <c r="J146">
        <f t="shared" si="37"/>
        <v>1.3793896488308061E-2</v>
      </c>
      <c r="K146" s="4">
        <f t="shared" si="38"/>
        <v>-2.4238659078619131E-3</v>
      </c>
      <c r="L146">
        <f t="shared" si="39"/>
        <v>1.8830729436686684</v>
      </c>
      <c r="M146">
        <f t="shared" si="40"/>
        <v>-0.88307294366695843</v>
      </c>
      <c r="N146">
        <f t="shared" si="41"/>
        <v>1.00000000000171</v>
      </c>
      <c r="O146" t="str">
        <f t="shared" si="42"/>
        <v>Q2026-1</v>
      </c>
      <c r="P146">
        <f t="shared" si="43"/>
        <v>-4.5643163101756618E-3</v>
      </c>
      <c r="Q146">
        <f t="shared" si="44"/>
        <v>2.1404504023096044E-3</v>
      </c>
      <c r="R146">
        <f t="shared" si="45"/>
        <v>-2.4238659078619218E-3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A698-F8DF-41C3-9400-993E456395F5}">
  <dimension ref="A1:E142"/>
  <sheetViews>
    <sheetView tabSelected="1" topLeftCell="A40" workbookViewId="0">
      <selection activeCell="B115" sqref="B115"/>
    </sheetView>
  </sheetViews>
  <sheetFormatPr baseColWidth="10" defaultRowHeight="14.5" x14ac:dyDescent="0.35"/>
  <sheetData>
    <row r="1" spans="1:4" x14ac:dyDescent="0.35">
      <c r="A1" t="s">
        <v>18</v>
      </c>
      <c r="B1" t="s">
        <v>26</v>
      </c>
      <c r="C1" t="s">
        <v>27</v>
      </c>
      <c r="D1" t="s">
        <v>28</v>
      </c>
    </row>
    <row r="2" spans="1:4" x14ac:dyDescent="0.35">
      <c r="A2" t="s">
        <v>7</v>
      </c>
      <c r="B2">
        <v>1.691134820651952E-2</v>
      </c>
      <c r="C2">
        <v>3.8464825062318908E-2</v>
      </c>
      <c r="D2">
        <v>5.5376173268838036E-2</v>
      </c>
    </row>
    <row r="3" spans="1:4" x14ac:dyDescent="0.35">
      <c r="A3" t="s">
        <v>8</v>
      </c>
      <c r="B3">
        <v>4.5821009669461095E-3</v>
      </c>
      <c r="C3">
        <v>5.2255957561111635E-2</v>
      </c>
      <c r="D3">
        <v>5.6838058528058788E-2</v>
      </c>
    </row>
    <row r="4" spans="1:4" x14ac:dyDescent="0.35">
      <c r="A4" t="s">
        <v>9</v>
      </c>
      <c r="B4">
        <v>9.8037473549561771E-3</v>
      </c>
      <c r="C4">
        <v>4.6626281218593649E-2</v>
      </c>
      <c r="D4">
        <v>5.643002857354773E-2</v>
      </c>
    </row>
    <row r="5" spans="1:4" x14ac:dyDescent="0.35">
      <c r="A5" t="s">
        <v>10</v>
      </c>
      <c r="B5">
        <v>4.1704073228026571E-3</v>
      </c>
      <c r="C5">
        <v>4.3912193052879203E-2</v>
      </c>
      <c r="D5">
        <v>4.8082600375679352E-2</v>
      </c>
    </row>
    <row r="6" spans="1:4" x14ac:dyDescent="0.35">
      <c r="A6" t="s">
        <v>11</v>
      </c>
      <c r="B6">
        <v>1.8992522545146693E-2</v>
      </c>
      <c r="C6">
        <v>1.45915430973155E-2</v>
      </c>
      <c r="D6">
        <v>3.3584065642462191E-2</v>
      </c>
    </row>
    <row r="7" spans="1:4" x14ac:dyDescent="0.35">
      <c r="A7" t="s">
        <v>12</v>
      </c>
      <c r="B7">
        <v>6.2059599166087772E-3</v>
      </c>
      <c r="C7">
        <v>1.5930978771151058E-2</v>
      </c>
      <c r="D7">
        <v>2.213693868775457E-2</v>
      </c>
    </row>
    <row r="8" spans="1:4" x14ac:dyDescent="0.35">
      <c r="A8" t="s">
        <v>13</v>
      </c>
      <c r="B8">
        <v>-7.2438695971965596E-3</v>
      </c>
      <c r="C8">
        <v>2.1860935521421224E-2</v>
      </c>
      <c r="D8">
        <v>1.4617065924225736E-2</v>
      </c>
    </row>
    <row r="9" spans="1:4" x14ac:dyDescent="0.35">
      <c r="A9" t="s">
        <v>14</v>
      </c>
      <c r="B9">
        <v>-4.939574185756389E-3</v>
      </c>
      <c r="C9">
        <v>2.00431101257704E-2</v>
      </c>
      <c r="D9">
        <v>1.510353594001157E-2</v>
      </c>
    </row>
    <row r="10" spans="1:4" x14ac:dyDescent="0.35">
      <c r="A10" t="s">
        <v>15</v>
      </c>
      <c r="B10">
        <v>-9.3599636991865585E-4</v>
      </c>
      <c r="C10">
        <v>1.8792046196811241E-2</v>
      </c>
      <c r="D10">
        <v>1.7856049826892928E-2</v>
      </c>
    </row>
    <row r="11" spans="1:4" x14ac:dyDescent="0.35">
      <c r="A11" t="s">
        <v>29</v>
      </c>
      <c r="B11">
        <v>1.0257478993875252E-2</v>
      </c>
      <c r="C11">
        <v>1.2164668216234893E-2</v>
      </c>
      <c r="D11">
        <v>2.2422147210110488E-2</v>
      </c>
    </row>
    <row r="12" spans="1:4" x14ac:dyDescent="0.35">
      <c r="A12" t="s">
        <v>30</v>
      </c>
      <c r="B12">
        <v>2.6088435294253236E-2</v>
      </c>
      <c r="C12">
        <v>4.5829356016703946E-4</v>
      </c>
      <c r="D12">
        <v>2.6546728854417223E-2</v>
      </c>
    </row>
    <row r="13" spans="1:4" x14ac:dyDescent="0.35">
      <c r="A13" t="s">
        <v>31</v>
      </c>
      <c r="B13">
        <v>2.5665144344985062E-2</v>
      </c>
      <c r="C13">
        <v>8.8331134475257473E-5</v>
      </c>
      <c r="D13">
        <v>2.5753475479462384E-2</v>
      </c>
    </row>
    <row r="14" spans="1:4" x14ac:dyDescent="0.35">
      <c r="A14" t="s">
        <v>32</v>
      </c>
      <c r="B14">
        <v>3.4443442060247111E-2</v>
      </c>
      <c r="C14">
        <v>-1.3005706257004625E-2</v>
      </c>
      <c r="D14">
        <v>2.1437735803237823E-2</v>
      </c>
    </row>
    <row r="15" spans="1:4" x14ac:dyDescent="0.35">
      <c r="A15" t="s">
        <v>33</v>
      </c>
      <c r="B15">
        <v>1.2022980881613807E-2</v>
      </c>
      <c r="C15">
        <v>3.0180719721156811E-3</v>
      </c>
      <c r="D15">
        <v>1.5041052853732362E-2</v>
      </c>
    </row>
    <row r="16" spans="1:4" x14ac:dyDescent="0.35">
      <c r="A16" t="s">
        <v>34</v>
      </c>
      <c r="B16">
        <v>9.0471068272504011E-3</v>
      </c>
      <c r="C16">
        <v>-9.9357645130140242E-4</v>
      </c>
      <c r="D16">
        <v>8.0535303759496912E-3</v>
      </c>
    </row>
    <row r="17" spans="1:4" x14ac:dyDescent="0.35">
      <c r="A17" t="s">
        <v>35</v>
      </c>
      <c r="B17">
        <v>8.1874567488049686E-3</v>
      </c>
      <c r="C17">
        <v>-4.7428804852013579E-3</v>
      </c>
      <c r="D17">
        <v>3.4445762636032828E-3</v>
      </c>
    </row>
    <row r="18" spans="1:4" x14ac:dyDescent="0.35">
      <c r="A18" t="s">
        <v>36</v>
      </c>
      <c r="B18">
        <v>-8.2349313079598252E-3</v>
      </c>
      <c r="C18">
        <v>1.0640843609325911E-2</v>
      </c>
      <c r="D18">
        <v>2.4059123013724371E-3</v>
      </c>
    </row>
    <row r="19" spans="1:4" x14ac:dyDescent="0.35">
      <c r="A19" t="s">
        <v>37</v>
      </c>
      <c r="B19">
        <v>8.2399772621040077E-3</v>
      </c>
      <c r="C19">
        <v>-4.104993403360048E-3</v>
      </c>
      <c r="D19">
        <v>4.1349838587485532E-3</v>
      </c>
    </row>
    <row r="20" spans="1:4" x14ac:dyDescent="0.35">
      <c r="A20" t="s">
        <v>38</v>
      </c>
      <c r="B20">
        <v>7.969182434437996E-3</v>
      </c>
      <c r="C20">
        <v>3.7117057110481501E-3</v>
      </c>
      <c r="D20">
        <v>1.1680888145490842E-2</v>
      </c>
    </row>
    <row r="21" spans="1:4" x14ac:dyDescent="0.35">
      <c r="A21" t="s">
        <v>39</v>
      </c>
      <c r="B21">
        <v>-1.9492682228335972E-2</v>
      </c>
      <c r="C21">
        <v>3.062082446328834E-2</v>
      </c>
      <c r="D21">
        <v>1.1128142234959393E-2</v>
      </c>
    </row>
    <row r="22" spans="1:4" x14ac:dyDescent="0.35">
      <c r="A22" t="s">
        <v>40</v>
      </c>
      <c r="B22">
        <v>1.4192038963664047E-2</v>
      </c>
      <c r="C22">
        <v>-8.0202242814430662E-3</v>
      </c>
      <c r="D22">
        <v>6.1718146822200559E-3</v>
      </c>
    </row>
    <row r="23" spans="1:4" x14ac:dyDescent="0.35">
      <c r="A23" t="s">
        <v>41</v>
      </c>
      <c r="B23">
        <v>9.6514585618716012E-3</v>
      </c>
      <c r="C23">
        <v>-4.6446563796992283E-4</v>
      </c>
      <c r="D23">
        <v>9.1869929239005721E-3</v>
      </c>
    </row>
    <row r="24" spans="1:4" x14ac:dyDescent="0.35">
      <c r="A24" t="s">
        <v>42</v>
      </c>
      <c r="B24">
        <v>-3.3451911130430961E-3</v>
      </c>
      <c r="C24">
        <v>1.5178689288232441E-3</v>
      </c>
      <c r="D24" s="5">
        <v>-1.8273221842254328E-3</v>
      </c>
    </row>
    <row r="25" spans="1:4" x14ac:dyDescent="0.35">
      <c r="A25" t="s">
        <v>43</v>
      </c>
      <c r="B25">
        <v>-3.3779697140916762E-3</v>
      </c>
      <c r="C25">
        <v>-5.4068095494052258E-4</v>
      </c>
      <c r="D25" s="5">
        <v>-3.9186506690388478E-3</v>
      </c>
    </row>
    <row r="26" spans="1:4" x14ac:dyDescent="0.35">
      <c r="A26" t="s">
        <v>44</v>
      </c>
      <c r="B26">
        <v>1.7165416195780259E-3</v>
      </c>
      <c r="C26">
        <v>-4.5660729183285148E-3</v>
      </c>
      <c r="D26" s="5">
        <v>-2.8495312987552035E-3</v>
      </c>
    </row>
    <row r="27" spans="1:4" x14ac:dyDescent="0.35">
      <c r="A27" t="s">
        <v>45</v>
      </c>
      <c r="B27">
        <v>-2.2008862640124669E-2</v>
      </c>
      <c r="C27">
        <v>1.311675644169193E-2</v>
      </c>
      <c r="D27" s="5">
        <v>-8.8921061984328365E-3</v>
      </c>
    </row>
    <row r="28" spans="1:4" x14ac:dyDescent="0.35">
      <c r="A28" t="s">
        <v>46</v>
      </c>
      <c r="B28">
        <v>-2.6379590704893744E-3</v>
      </c>
      <c r="C28">
        <v>-7.275993689769151E-4</v>
      </c>
      <c r="D28" s="5">
        <v>-3.3655584394668425E-3</v>
      </c>
    </row>
    <row r="29" spans="1:4" x14ac:dyDescent="0.35">
      <c r="A29" t="s">
        <v>47</v>
      </c>
      <c r="B29">
        <v>2.2306655235232637E-2</v>
      </c>
      <c r="C29">
        <v>-2.620083227800769E-2</v>
      </c>
      <c r="D29" s="5">
        <v>-3.8941770427726174E-3</v>
      </c>
    </row>
    <row r="30" spans="1:4" x14ac:dyDescent="0.35">
      <c r="A30" t="s">
        <v>48</v>
      </c>
      <c r="B30">
        <v>-3.2431797972424046E-3</v>
      </c>
      <c r="C30">
        <v>1.7759505731218931E-3</v>
      </c>
      <c r="D30" s="5">
        <v>-1.4672292241131313E-3</v>
      </c>
    </row>
    <row r="31" spans="1:4" x14ac:dyDescent="0.35">
      <c r="A31" t="s">
        <v>49</v>
      </c>
      <c r="B31">
        <v>1.2442757303235642E-2</v>
      </c>
      <c r="C31">
        <v>-1.3447084833028245E-2</v>
      </c>
      <c r="D31" s="5">
        <v>-1.0043275297921817E-3</v>
      </c>
    </row>
    <row r="32" spans="1:4" x14ac:dyDescent="0.35">
      <c r="A32" t="s">
        <v>50</v>
      </c>
      <c r="B32">
        <v>1.6431794498769504E-2</v>
      </c>
      <c r="C32">
        <v>-1.7735489611606012E-2</v>
      </c>
      <c r="D32" s="5">
        <v>-1.3036951128356788E-3</v>
      </c>
    </row>
    <row r="33" spans="1:4" x14ac:dyDescent="0.35">
      <c r="A33" t="s">
        <v>51</v>
      </c>
      <c r="B33">
        <v>-1.0948598941535645E-2</v>
      </c>
      <c r="C33">
        <v>7.1656129548350175E-3</v>
      </c>
      <c r="D33" s="5">
        <v>-3.7829859866962412E-3</v>
      </c>
    </row>
    <row r="34" spans="1:4" x14ac:dyDescent="0.35">
      <c r="A34" t="s">
        <v>52</v>
      </c>
      <c r="B34">
        <v>-2.434031708650005E-2</v>
      </c>
      <c r="C34">
        <v>2.1351065895006658E-2</v>
      </c>
      <c r="D34" s="5">
        <v>-2.9892511915011744E-3</v>
      </c>
    </row>
    <row r="35" spans="1:4" x14ac:dyDescent="0.35">
      <c r="A35" t="s">
        <v>53</v>
      </c>
      <c r="B35">
        <v>-2.6431925391096995E-3</v>
      </c>
      <c r="C35">
        <v>-5.2368508777925064E-4</v>
      </c>
      <c r="D35" s="5">
        <v>-3.1668776268950483E-3</v>
      </c>
    </row>
    <row r="36" spans="1:4" x14ac:dyDescent="0.35">
      <c r="A36" t="s">
        <v>54</v>
      </c>
      <c r="B36">
        <v>-6.6010562160322556E-3</v>
      </c>
      <c r="C36">
        <v>1.2447376449980046E-2</v>
      </c>
      <c r="D36">
        <v>5.8463202339513742E-3</v>
      </c>
    </row>
    <row r="37" spans="1:4" x14ac:dyDescent="0.35">
      <c r="A37" t="s">
        <v>55</v>
      </c>
      <c r="B37">
        <v>3.4542731653672547E-2</v>
      </c>
      <c r="C37">
        <v>-2.4752810614878377E-2</v>
      </c>
      <c r="D37">
        <v>9.7899210387866198E-3</v>
      </c>
    </row>
    <row r="38" spans="1:4" x14ac:dyDescent="0.35">
      <c r="A38" t="s">
        <v>56</v>
      </c>
      <c r="B38">
        <v>2.4587197221999924E-2</v>
      </c>
      <c r="C38">
        <v>-1.2500559180758717E-2</v>
      </c>
      <c r="D38">
        <v>1.208663804124166E-2</v>
      </c>
    </row>
    <row r="39" spans="1:4" x14ac:dyDescent="0.35">
      <c r="A39" t="s">
        <v>57</v>
      </c>
      <c r="B39">
        <v>6.6253018934784597E-3</v>
      </c>
      <c r="C39">
        <v>7.197225289611967E-3</v>
      </c>
      <c r="D39">
        <v>1.3822527183096289E-2</v>
      </c>
    </row>
    <row r="40" spans="1:4" x14ac:dyDescent="0.35">
      <c r="A40" t="s">
        <v>58</v>
      </c>
      <c r="B40">
        <v>2.2440149899517106E-2</v>
      </c>
      <c r="C40">
        <v>-8.1828693337355311E-3</v>
      </c>
      <c r="D40">
        <v>1.4257280565783459E-2</v>
      </c>
    </row>
    <row r="41" spans="1:4" x14ac:dyDescent="0.35">
      <c r="A41" t="s">
        <v>59</v>
      </c>
      <c r="B41">
        <v>-2.6639376518944476E-3</v>
      </c>
      <c r="C41">
        <v>2.007234068129507E-2</v>
      </c>
      <c r="D41">
        <v>1.7408403029405939E-2</v>
      </c>
    </row>
    <row r="42" spans="1:4" x14ac:dyDescent="0.35">
      <c r="A42" t="s">
        <v>60</v>
      </c>
      <c r="B42">
        <v>-4.1374244158621743E-3</v>
      </c>
      <c r="C42">
        <v>2.2696243409713168E-2</v>
      </c>
      <c r="D42">
        <v>1.8558818993851478E-2</v>
      </c>
    </row>
    <row r="43" spans="1:4" x14ac:dyDescent="0.35">
      <c r="A43" t="s">
        <v>61</v>
      </c>
      <c r="B43">
        <v>1.6258861973689791E-2</v>
      </c>
      <c r="C43">
        <v>-2.7490291792269658E-3</v>
      </c>
      <c r="D43">
        <v>1.3509832794456056E-2</v>
      </c>
    </row>
    <row r="44" spans="1:4" x14ac:dyDescent="0.35">
      <c r="A44" t="s">
        <v>62</v>
      </c>
      <c r="B44">
        <v>-2.2727156643611721E-2</v>
      </c>
      <c r="C44">
        <v>3.07292725718675E-2</v>
      </c>
      <c r="D44">
        <v>8.0021159282543941E-3</v>
      </c>
    </row>
    <row r="45" spans="1:4" x14ac:dyDescent="0.35">
      <c r="A45" t="s">
        <v>63</v>
      </c>
      <c r="B45">
        <v>-3.1331627506867542E-2</v>
      </c>
      <c r="C45">
        <v>3.5391401410312606E-2</v>
      </c>
      <c r="D45">
        <v>4.0597739034438085E-3</v>
      </c>
    </row>
    <row r="46" spans="1:4" x14ac:dyDescent="0.35">
      <c r="A46" t="s">
        <v>64</v>
      </c>
      <c r="B46">
        <v>-6.9246883441186E-2</v>
      </c>
      <c r="C46">
        <v>6.3307530834966388E-2</v>
      </c>
      <c r="D46" s="5">
        <v>-5.9393526062152535E-3</v>
      </c>
    </row>
    <row r="47" spans="1:4" x14ac:dyDescent="0.35">
      <c r="A47" t="s">
        <v>65</v>
      </c>
      <c r="B47">
        <v>-2.284739066777559E-2</v>
      </c>
      <c r="C47">
        <v>1.7992412316042816E-2</v>
      </c>
      <c r="D47" s="5">
        <v>-4.8549783517275458E-3</v>
      </c>
    </row>
    <row r="48" spans="1:4" x14ac:dyDescent="0.35">
      <c r="A48" t="s">
        <v>66</v>
      </c>
      <c r="B48">
        <v>-5.4407878188195255E-4</v>
      </c>
      <c r="C48">
        <v>-5.7829752072674533E-3</v>
      </c>
      <c r="D48" s="5">
        <v>-6.3270539891481237E-3</v>
      </c>
    </row>
    <row r="49" spans="1:4" x14ac:dyDescent="0.35">
      <c r="A49" t="s">
        <v>67</v>
      </c>
      <c r="B49">
        <v>1.8398729242297716E-2</v>
      </c>
      <c r="C49">
        <v>-1.9636543621508996E-2</v>
      </c>
      <c r="D49" s="5">
        <v>-1.2378143792137752E-3</v>
      </c>
    </row>
    <row r="50" spans="1:4" x14ac:dyDescent="0.35">
      <c r="A50" t="s">
        <v>68</v>
      </c>
      <c r="B50">
        <v>8.9387667051667851E-3</v>
      </c>
      <c r="C50">
        <v>-1.651216488052686E-3</v>
      </c>
      <c r="D50">
        <v>7.2875502171081408E-3</v>
      </c>
    </row>
    <row r="51" spans="1:4" x14ac:dyDescent="0.35">
      <c r="A51" t="s">
        <v>69</v>
      </c>
      <c r="B51">
        <v>9.3106227875002553E-3</v>
      </c>
      <c r="C51">
        <v>5.0814907897589103E-3</v>
      </c>
      <c r="D51">
        <v>1.4392113577260668E-2</v>
      </c>
    </row>
    <row r="52" spans="1:4" x14ac:dyDescent="0.35">
      <c r="A52" t="s">
        <v>70</v>
      </c>
      <c r="B52">
        <v>1.181613292292636E-3</v>
      </c>
      <c r="C52">
        <v>1.1427330265610176E-2</v>
      </c>
      <c r="D52">
        <v>1.2608943557901098E-2</v>
      </c>
    </row>
    <row r="53" spans="1:4" x14ac:dyDescent="0.35">
      <c r="A53" t="s">
        <v>71</v>
      </c>
      <c r="B53">
        <v>1.2495765981922941E-2</v>
      </c>
      <c r="C53">
        <v>2.6914758203535623E-4</v>
      </c>
      <c r="D53">
        <v>1.2764913563958258E-2</v>
      </c>
    </row>
    <row r="54" spans="1:4" x14ac:dyDescent="0.35">
      <c r="A54" t="s">
        <v>72</v>
      </c>
      <c r="B54">
        <v>2.663815960972557E-2</v>
      </c>
      <c r="C54">
        <v>-1.9916151285304114E-2</v>
      </c>
      <c r="D54">
        <v>6.7220083244232676E-3</v>
      </c>
    </row>
    <row r="55" spans="1:4" x14ac:dyDescent="0.35">
      <c r="A55" t="s">
        <v>73</v>
      </c>
      <c r="B55">
        <v>2.2447640707302128E-2</v>
      </c>
      <c r="C55">
        <v>-1.861431458911731E-2</v>
      </c>
      <c r="D55">
        <v>3.8333261181808798E-3</v>
      </c>
    </row>
    <row r="56" spans="1:4" x14ac:dyDescent="0.35">
      <c r="A56" t="s">
        <v>74</v>
      </c>
      <c r="B56">
        <v>6.7573104289728918E-3</v>
      </c>
      <c r="C56">
        <v>-5.9363330384641514E-3</v>
      </c>
      <c r="D56">
        <v>8.2097739050546181E-4</v>
      </c>
    </row>
    <row r="57" spans="1:4" x14ac:dyDescent="0.35">
      <c r="A57" t="s">
        <v>75</v>
      </c>
      <c r="B57">
        <v>-8.177277652939869E-4</v>
      </c>
      <c r="C57">
        <v>6.688826244709397E-3</v>
      </c>
      <c r="D57">
        <v>5.8710984794205778E-3</v>
      </c>
    </row>
    <row r="58" spans="1:4" x14ac:dyDescent="0.35">
      <c r="A58" t="s">
        <v>76</v>
      </c>
      <c r="B58">
        <v>4.5951249750954045E-3</v>
      </c>
      <c r="C58">
        <v>9.526835236045322E-4</v>
      </c>
      <c r="D58">
        <v>5.5478084987026222E-3</v>
      </c>
    </row>
    <row r="59" spans="1:4" x14ac:dyDescent="0.35">
      <c r="A59" t="s">
        <v>77</v>
      </c>
      <c r="B59">
        <v>-4.9392974277489019E-3</v>
      </c>
      <c r="C59">
        <v>1.0919305619175208E-2</v>
      </c>
      <c r="D59">
        <v>5.9800081914280767E-3</v>
      </c>
    </row>
    <row r="60" spans="1:4" x14ac:dyDescent="0.35">
      <c r="A60" t="s">
        <v>78</v>
      </c>
      <c r="B60">
        <v>1.9503534682888006E-2</v>
      </c>
      <c r="C60">
        <v>-5.5479904030074174E-3</v>
      </c>
      <c r="D60">
        <v>1.3955544279880661E-2</v>
      </c>
    </row>
    <row r="61" spans="1:4" x14ac:dyDescent="0.35">
      <c r="A61" t="s">
        <v>79</v>
      </c>
      <c r="B61">
        <v>1.5309153739938023E-2</v>
      </c>
      <c r="C61">
        <v>-2.9850206085042593E-3</v>
      </c>
      <c r="D61">
        <v>1.2324133131429216E-2</v>
      </c>
    </row>
    <row r="62" spans="1:4" x14ac:dyDescent="0.35">
      <c r="A62" t="s">
        <v>80</v>
      </c>
      <c r="B62">
        <v>1.4821189823644177E-2</v>
      </c>
      <c r="C62">
        <v>5.5727061301899103E-3</v>
      </c>
      <c r="D62">
        <v>2.0393895953833008E-2</v>
      </c>
    </row>
    <row r="63" spans="1:4" x14ac:dyDescent="0.35">
      <c r="A63" t="s">
        <v>81</v>
      </c>
      <c r="B63">
        <v>2.8984339366794162E-2</v>
      </c>
      <c r="C63">
        <v>-6.5189426612103718E-3</v>
      </c>
      <c r="D63">
        <v>2.2465396705583451E-2</v>
      </c>
    </row>
    <row r="64" spans="1:4" x14ac:dyDescent="0.35">
      <c r="A64" t="s">
        <v>82</v>
      </c>
      <c r="B64">
        <v>2.1940964969173981E-2</v>
      </c>
      <c r="C64">
        <v>-3.0146157635850275E-4</v>
      </c>
      <c r="D64">
        <v>2.163950339281917E-2</v>
      </c>
    </row>
    <row r="65" spans="1:4" x14ac:dyDescent="0.35">
      <c r="A65" t="s">
        <v>83</v>
      </c>
      <c r="B65">
        <v>2.4997791549162058E-2</v>
      </c>
      <c r="C65">
        <v>-4.4118778260463327E-3</v>
      </c>
      <c r="D65">
        <v>2.0585913723118798E-2</v>
      </c>
    </row>
    <row r="66" spans="1:4" x14ac:dyDescent="0.35">
      <c r="A66" t="s">
        <v>84</v>
      </c>
      <c r="B66">
        <v>1.1322685030089853E-2</v>
      </c>
      <c r="C66">
        <v>1.3778547240458384E-2</v>
      </c>
      <c r="D66">
        <v>2.5101232270547058E-2</v>
      </c>
    </row>
    <row r="67" spans="1:4" x14ac:dyDescent="0.35">
      <c r="A67" t="s">
        <v>85</v>
      </c>
      <c r="B67">
        <v>1.3075476850935458E-2</v>
      </c>
      <c r="C67">
        <v>1.1641564410633864E-2</v>
      </c>
      <c r="D67">
        <v>2.4717041261568262E-2</v>
      </c>
    </row>
    <row r="68" spans="1:4" x14ac:dyDescent="0.35">
      <c r="A68" t="s">
        <v>86</v>
      </c>
      <c r="B68">
        <v>2.2311361070725771E-2</v>
      </c>
      <c r="C68">
        <v>1.7556943057519877E-3</v>
      </c>
      <c r="D68">
        <v>2.4067055376475022E-2</v>
      </c>
    </row>
    <row r="69" spans="1:4" x14ac:dyDescent="0.35">
      <c r="A69" t="s">
        <v>87</v>
      </c>
      <c r="B69">
        <v>2.0887210918026769E-2</v>
      </c>
      <c r="C69">
        <v>4.0510857787575691E-3</v>
      </c>
      <c r="D69">
        <v>2.4938296696785489E-2</v>
      </c>
    </row>
    <row r="70" spans="1:4" x14ac:dyDescent="0.35">
      <c r="A70" t="s">
        <v>88</v>
      </c>
      <c r="B70">
        <v>3.5472118503993071E-4</v>
      </c>
      <c r="C70">
        <v>1.8059443028745983E-2</v>
      </c>
      <c r="D70">
        <v>1.8414164213786943E-2</v>
      </c>
    </row>
    <row r="71" spans="1:4" x14ac:dyDescent="0.35">
      <c r="A71" t="s">
        <v>89</v>
      </c>
      <c r="B71">
        <v>1.0563703005337783E-2</v>
      </c>
      <c r="C71">
        <v>6.0064346690233451E-3</v>
      </c>
      <c r="D71">
        <v>1.6570137674364771E-2</v>
      </c>
    </row>
    <row r="72" spans="1:4" x14ac:dyDescent="0.35">
      <c r="A72" t="s">
        <v>90</v>
      </c>
      <c r="B72">
        <v>1.3169374683541679E-2</v>
      </c>
      <c r="C72">
        <v>-2.4112892360056023E-3</v>
      </c>
      <c r="D72">
        <v>1.0758085447536647E-2</v>
      </c>
    </row>
    <row r="73" spans="1:4" x14ac:dyDescent="0.35">
      <c r="A73" t="s">
        <v>91</v>
      </c>
      <c r="B73">
        <v>-1.8603994004539329E-2</v>
      </c>
      <c r="C73">
        <v>2.7308002265148026E-2</v>
      </c>
      <c r="D73">
        <v>8.7040082606026914E-3</v>
      </c>
    </row>
    <row r="74" spans="1:4" x14ac:dyDescent="0.35">
      <c r="A74" t="s">
        <v>92</v>
      </c>
      <c r="B74">
        <v>-5.1510673171224746E-3</v>
      </c>
      <c r="C74">
        <v>1.1060875880683911E-2</v>
      </c>
      <c r="D74">
        <v>5.9098085635618247E-3</v>
      </c>
    </row>
    <row r="75" spans="1:4" x14ac:dyDescent="0.35">
      <c r="A75" t="s">
        <v>93</v>
      </c>
      <c r="B75">
        <v>-3.532559389241835E-2</v>
      </c>
      <c r="C75">
        <v>3.7077862191888751E-2</v>
      </c>
      <c r="D75">
        <v>1.7522682994688399E-3</v>
      </c>
    </row>
    <row r="76" spans="1:4" x14ac:dyDescent="0.35">
      <c r="A76" t="s">
        <v>94</v>
      </c>
      <c r="B76">
        <v>-2.767478502261228E-2</v>
      </c>
      <c r="C76">
        <v>3.3719297914769131E-2</v>
      </c>
      <c r="D76">
        <v>6.0445128921600144E-3</v>
      </c>
    </row>
    <row r="77" spans="1:4" x14ac:dyDescent="0.35">
      <c r="A77" t="s">
        <v>95</v>
      </c>
      <c r="B77">
        <v>-6.2666763359673283E-3</v>
      </c>
      <c r="C77">
        <v>1.1560652346868039E-2</v>
      </c>
      <c r="D77">
        <v>5.2939760109056433E-3</v>
      </c>
    </row>
    <row r="78" spans="1:4" x14ac:dyDescent="0.35">
      <c r="A78" t="s">
        <v>96</v>
      </c>
      <c r="B78">
        <v>2.9087565563822693E-2</v>
      </c>
      <c r="C78">
        <v>-2.6239778240529081E-2</v>
      </c>
      <c r="D78">
        <v>2.847787323290607E-3</v>
      </c>
    </row>
    <row r="79" spans="1:4" x14ac:dyDescent="0.35">
      <c r="A79" t="s">
        <v>97</v>
      </c>
      <c r="B79">
        <v>2.3740193388478794E-2</v>
      </c>
      <c r="C79">
        <v>-1.6701918218304405E-2</v>
      </c>
      <c r="D79">
        <v>7.0382751701716373E-3</v>
      </c>
    </row>
    <row r="80" spans="1:4" x14ac:dyDescent="0.35">
      <c r="A80" t="s">
        <v>98</v>
      </c>
      <c r="B80">
        <v>-3.8226468977989558E-4</v>
      </c>
      <c r="C80">
        <v>3.6002506472441235E-3</v>
      </c>
      <c r="D80">
        <v>3.2179859574608116E-3</v>
      </c>
    </row>
    <row r="81" spans="1:4" x14ac:dyDescent="0.35">
      <c r="A81" t="s">
        <v>99</v>
      </c>
      <c r="B81">
        <v>1.7821706792773558E-2</v>
      </c>
      <c r="C81">
        <v>-1.2912412823565049E-2</v>
      </c>
      <c r="D81">
        <v>4.9092939692096937E-3</v>
      </c>
    </row>
    <row r="82" spans="1:4" x14ac:dyDescent="0.35">
      <c r="A82" t="s">
        <v>100</v>
      </c>
      <c r="B82">
        <v>2.4823339987952412E-3</v>
      </c>
      <c r="C82">
        <v>3.1054973541101202E-3</v>
      </c>
      <c r="D82">
        <v>5.5878313529078572E-3</v>
      </c>
    </row>
    <row r="83" spans="1:4" x14ac:dyDescent="0.35">
      <c r="A83" t="s">
        <v>101</v>
      </c>
      <c r="B83">
        <v>-1.8587483760406656E-2</v>
      </c>
      <c r="C83">
        <v>1.9787988424622711E-2</v>
      </c>
      <c r="D83">
        <v>1.2005046642160622E-3</v>
      </c>
    </row>
    <row r="84" spans="1:4" x14ac:dyDescent="0.35">
      <c r="A84" t="s">
        <v>102</v>
      </c>
      <c r="B84">
        <v>-5.241663990540919E-3</v>
      </c>
      <c r="C84">
        <v>6.0701154697420266E-3</v>
      </c>
      <c r="D84">
        <v>8.2845147920163065E-4</v>
      </c>
    </row>
    <row r="85" spans="1:4" x14ac:dyDescent="0.35">
      <c r="A85" t="s">
        <v>103</v>
      </c>
      <c r="B85">
        <v>-2.4313866173883304E-2</v>
      </c>
      <c r="C85">
        <v>2.1102419732259695E-2</v>
      </c>
      <c r="D85">
        <v>-3.2114464416291844E-3</v>
      </c>
    </row>
    <row r="86" spans="1:4" x14ac:dyDescent="0.35">
      <c r="A86" t="s">
        <v>104</v>
      </c>
      <c r="B86">
        <v>-1.3405712497959132E-2</v>
      </c>
      <c r="C86">
        <v>1.3911899203475719E-2</v>
      </c>
      <c r="D86">
        <v>5.0618670551760836E-4</v>
      </c>
    </row>
    <row r="87" spans="1:4" x14ac:dyDescent="0.35">
      <c r="A87" t="s">
        <v>105</v>
      </c>
      <c r="B87">
        <v>-5.519693259516175E-3</v>
      </c>
      <c r="C87">
        <v>7.333531198102039E-3</v>
      </c>
      <c r="D87">
        <v>1.8138379385876924E-3</v>
      </c>
    </row>
    <row r="88" spans="1:4" x14ac:dyDescent="0.35">
      <c r="A88" t="s">
        <v>106</v>
      </c>
      <c r="B88">
        <v>-3.4584822640892224E-3</v>
      </c>
      <c r="C88">
        <v>5.6890903632169348E-3</v>
      </c>
      <c r="D88">
        <v>2.2306080991278954E-3</v>
      </c>
    </row>
    <row r="89" spans="1:4" x14ac:dyDescent="0.35">
      <c r="A89" t="s">
        <v>107</v>
      </c>
      <c r="B89">
        <v>-1.6833176117041109E-3</v>
      </c>
      <c r="C89">
        <v>5.2131426811048084E-3</v>
      </c>
      <c r="D89">
        <v>3.5298250694011379E-3</v>
      </c>
    </row>
    <row r="90" spans="1:4" x14ac:dyDescent="0.35">
      <c r="A90" t="s">
        <v>108</v>
      </c>
      <c r="B90">
        <v>-9.1692534980432651E-3</v>
      </c>
      <c r="C90">
        <v>7.2729782128484405E-3</v>
      </c>
      <c r="D90">
        <v>-1.8962752851995335E-3</v>
      </c>
    </row>
    <row r="91" spans="1:4" x14ac:dyDescent="0.35">
      <c r="A91" t="s">
        <v>109</v>
      </c>
      <c r="B91">
        <v>4.486812705274291E-3</v>
      </c>
      <c r="C91">
        <v>-2.9238066093831825E-3</v>
      </c>
      <c r="D91">
        <v>1.5630060958913283E-3</v>
      </c>
    </row>
    <row r="92" spans="1:4" x14ac:dyDescent="0.35">
      <c r="A92" t="s">
        <v>110</v>
      </c>
      <c r="B92">
        <v>-3.0766341171330025E-3</v>
      </c>
      <c r="C92">
        <v>3.3542953240881103E-3</v>
      </c>
      <c r="D92">
        <v>2.776612069574913E-4</v>
      </c>
    </row>
    <row r="93" spans="1:4" x14ac:dyDescent="0.35">
      <c r="A93" t="s">
        <v>111</v>
      </c>
      <c r="B93">
        <v>-3.5694671790933888E-3</v>
      </c>
      <c r="C93">
        <v>2.4497155640708984E-3</v>
      </c>
      <c r="D93" s="5">
        <v>-1.1197516150189823E-3</v>
      </c>
    </row>
    <row r="94" spans="1:4" x14ac:dyDescent="0.35">
      <c r="A94" t="s">
        <v>112</v>
      </c>
      <c r="B94">
        <v>-1.8124543009431621E-3</v>
      </c>
      <c r="C94">
        <v>9.3856136068892694E-4</v>
      </c>
      <c r="D94" s="5">
        <v>-8.7389294025486119E-4</v>
      </c>
    </row>
    <row r="95" spans="1:4" x14ac:dyDescent="0.35">
      <c r="A95" t="s">
        <v>113</v>
      </c>
      <c r="B95">
        <v>2.1069727812474365E-3</v>
      </c>
      <c r="C95">
        <v>-7.058039166192619E-3</v>
      </c>
      <c r="D95" s="5">
        <v>-4.951066384948466E-3</v>
      </c>
    </row>
    <row r="96" spans="1:4" x14ac:dyDescent="0.35">
      <c r="A96" t="s">
        <v>114</v>
      </c>
      <c r="B96">
        <v>5.9209909497300278E-4</v>
      </c>
      <c r="C96">
        <v>-6.1110743413851053E-3</v>
      </c>
      <c r="D96" s="5">
        <v>-5.5189752464157582E-3</v>
      </c>
    </row>
    <row r="97" spans="1:4" x14ac:dyDescent="0.35">
      <c r="A97" t="s">
        <v>115</v>
      </c>
      <c r="B97">
        <v>-4.8745251780218692E-3</v>
      </c>
      <c r="C97">
        <v>-7.6473599541946368E-3</v>
      </c>
      <c r="D97" s="5">
        <v>-1.2521885132219746E-2</v>
      </c>
    </row>
    <row r="98" spans="1:4" x14ac:dyDescent="0.35">
      <c r="A98" t="s">
        <v>116</v>
      </c>
      <c r="B98">
        <v>-8.2533051083367517E-3</v>
      </c>
      <c r="C98">
        <v>-4.8216193957481036E-3</v>
      </c>
      <c r="D98" s="5">
        <v>-1.3074924504080765E-2</v>
      </c>
    </row>
    <row r="99" spans="1:4" x14ac:dyDescent="0.35">
      <c r="A99" t="s">
        <v>117</v>
      </c>
      <c r="B99">
        <v>-2.1493782996975141E-2</v>
      </c>
      <c r="C99">
        <v>6.8436083711805162E-3</v>
      </c>
      <c r="D99" s="5">
        <v>-1.4650174625794099E-2</v>
      </c>
    </row>
    <row r="100" spans="1:4" x14ac:dyDescent="0.35">
      <c r="A100" t="s">
        <v>118</v>
      </c>
      <c r="B100">
        <v>-2.002639163483913E-2</v>
      </c>
      <c r="C100">
        <v>6.3315858707599882E-3</v>
      </c>
      <c r="D100" s="5">
        <v>-1.3694805764077667E-2</v>
      </c>
    </row>
    <row r="101" spans="1:4" x14ac:dyDescent="0.35">
      <c r="A101" t="s">
        <v>119</v>
      </c>
      <c r="B101">
        <v>-1.2766549155878283E-2</v>
      </c>
      <c r="C101">
        <v>3.4340345119470431E-4</v>
      </c>
      <c r="D101" s="5">
        <v>-1.2423145704683058E-2</v>
      </c>
    </row>
    <row r="102" spans="1:4" x14ac:dyDescent="0.35">
      <c r="A102" t="s">
        <v>120</v>
      </c>
      <c r="B102">
        <v>8.9214712083976065E-4</v>
      </c>
      <c r="C102">
        <v>-1.3494338629834174E-2</v>
      </c>
      <c r="D102" s="5">
        <v>-1.2602191508990779E-2</v>
      </c>
    </row>
    <row r="103" spans="1:4" x14ac:dyDescent="0.35">
      <c r="A103" t="s">
        <v>121</v>
      </c>
      <c r="B103">
        <v>5.4654316622126681E-4</v>
      </c>
      <c r="C103">
        <v>-6.2268294036763499E-3</v>
      </c>
      <c r="D103" s="5">
        <v>-5.6802862374536467E-3</v>
      </c>
    </row>
    <row r="104" spans="1:4" x14ac:dyDescent="0.35">
      <c r="A104" t="s">
        <v>122</v>
      </c>
      <c r="B104">
        <v>-3.9746303389359651E-3</v>
      </c>
      <c r="C104">
        <v>-3.4104277148532279E-4</v>
      </c>
      <c r="D104" s="5">
        <v>-4.3156731104214696E-3</v>
      </c>
    </row>
    <row r="105" spans="1:4" x14ac:dyDescent="0.35">
      <c r="A105" t="s">
        <v>123</v>
      </c>
      <c r="B105">
        <v>-4.9136489722230951E-3</v>
      </c>
      <c r="C105">
        <v>2.8861847090420442E-3</v>
      </c>
      <c r="D105" s="5">
        <v>-2.0274642631799011E-3</v>
      </c>
    </row>
    <row r="106" spans="1:4" x14ac:dyDescent="0.35">
      <c r="A106" t="s">
        <v>124</v>
      </c>
      <c r="B106">
        <v>4.9415485979285596E-4</v>
      </c>
      <c r="C106">
        <v>-2.5627965635054983E-3</v>
      </c>
      <c r="D106" s="5">
        <v>-2.0686417037175664E-3</v>
      </c>
    </row>
    <row r="107" spans="1:4" x14ac:dyDescent="0.35">
      <c r="A107" t="s">
        <v>125</v>
      </c>
      <c r="B107">
        <v>-1.5462431281581854E-2</v>
      </c>
      <c r="C107">
        <v>5.1218179339910736E-3</v>
      </c>
      <c r="D107" s="5">
        <v>-1.0340613347591954E-2</v>
      </c>
    </row>
    <row r="108" spans="1:4" x14ac:dyDescent="0.35">
      <c r="A108" t="s">
        <v>126</v>
      </c>
      <c r="B108">
        <v>-4.966268504412584E-3</v>
      </c>
      <c r="C108">
        <v>1.727669722537666E-3</v>
      </c>
      <c r="D108" s="5">
        <v>-3.2385987818760453E-3</v>
      </c>
    </row>
    <row r="109" spans="1:4" x14ac:dyDescent="0.35">
      <c r="A109" t="s">
        <v>127</v>
      </c>
      <c r="B109">
        <v>5.8330627140032844E-3</v>
      </c>
      <c r="C109">
        <v>-3.6666547346665386E-3</v>
      </c>
      <c r="D109">
        <v>2.1664079793399793E-3</v>
      </c>
    </row>
    <row r="110" spans="1:4" x14ac:dyDescent="0.35">
      <c r="A110" t="s">
        <v>128</v>
      </c>
      <c r="B110">
        <v>-2.5319208418584488E-4</v>
      </c>
      <c r="C110">
        <v>1.2618025420186958E-3</v>
      </c>
      <c r="D110">
        <v>1.0086104578383992E-3</v>
      </c>
    </row>
    <row r="111" spans="1:4" x14ac:dyDescent="0.35">
      <c r="A111" t="s">
        <v>129</v>
      </c>
      <c r="B111">
        <v>3.0879495819137452E-2</v>
      </c>
      <c r="C111">
        <v>-1.7147861707840429E-2</v>
      </c>
      <c r="D111">
        <v>1.3731634111298296E-2</v>
      </c>
    </row>
    <row r="112" spans="1:4" x14ac:dyDescent="0.35">
      <c r="A112" t="s">
        <v>130</v>
      </c>
      <c r="B112">
        <v>1.8451407814175574E-2</v>
      </c>
      <c r="C112">
        <v>-9.9277723267978176E-3</v>
      </c>
      <c r="D112">
        <v>8.5236354873770015E-3</v>
      </c>
    </row>
    <row r="113" spans="1:5" x14ac:dyDescent="0.35">
      <c r="A113" t="s">
        <v>131</v>
      </c>
      <c r="B113">
        <v>6.0469791735782074E-3</v>
      </c>
      <c r="C113">
        <v>6.2673464719238648E-4</v>
      </c>
      <c r="D113">
        <v>6.6737138207648705E-3</v>
      </c>
    </row>
    <row r="114" spans="1:5" x14ac:dyDescent="0.35">
      <c r="A114" t="s">
        <v>132</v>
      </c>
      <c r="B114">
        <v>-8.4750611928768101E-4</v>
      </c>
      <c r="C114">
        <v>9.7165268614111781E-3</v>
      </c>
      <c r="D114">
        <v>8.8690207421189271E-3</v>
      </c>
    </row>
    <row r="115" spans="1:5" x14ac:dyDescent="0.35">
      <c r="A115" t="s">
        <v>133</v>
      </c>
      <c r="B115">
        <v>-1.5210449979942729E-2</v>
      </c>
      <c r="C115">
        <v>1.3804105500748204E-2</v>
      </c>
      <c r="D115" s="5">
        <v>-1.4063444791946322E-3</v>
      </c>
      <c r="E115">
        <f>SUM(B115:B120)</f>
        <v>-9.0963560727712209E-2</v>
      </c>
    </row>
    <row r="116" spans="1:5" x14ac:dyDescent="0.35">
      <c r="A116" t="s">
        <v>134</v>
      </c>
      <c r="B116">
        <v>-1.239449514145107E-2</v>
      </c>
      <c r="C116">
        <v>8.0031673526245566E-3</v>
      </c>
      <c r="D116" s="5">
        <v>-4.3913277888241176E-3</v>
      </c>
    </row>
    <row r="117" spans="1:5" x14ac:dyDescent="0.35">
      <c r="A117" t="s">
        <v>135</v>
      </c>
      <c r="B117">
        <v>-1.4871246029425253E-2</v>
      </c>
      <c r="C117">
        <v>8.5560423854887067E-3</v>
      </c>
      <c r="D117" s="5">
        <v>-6.3152036439335646E-3</v>
      </c>
    </row>
    <row r="118" spans="1:5" x14ac:dyDescent="0.35">
      <c r="A118" t="s">
        <v>136</v>
      </c>
      <c r="B118">
        <v>-1.9156410071926644E-2</v>
      </c>
      <c r="C118">
        <v>8.4608496920471864E-3</v>
      </c>
      <c r="D118" s="5">
        <v>-1.069556037987629E-2</v>
      </c>
    </row>
    <row r="119" spans="1:5" x14ac:dyDescent="0.35">
      <c r="A119" t="s">
        <v>137</v>
      </c>
      <c r="B119">
        <v>-1.6854816021359336E-2</v>
      </c>
      <c r="C119">
        <v>5.2078695762059262E-3</v>
      </c>
      <c r="D119" s="5">
        <v>-1.1646946445152628E-2</v>
      </c>
    </row>
    <row r="120" spans="1:5" x14ac:dyDescent="0.35">
      <c r="A120" t="s">
        <v>138</v>
      </c>
      <c r="B120">
        <v>-1.2476143483607182E-2</v>
      </c>
      <c r="C120">
        <v>5.7476850997314286E-3</v>
      </c>
      <c r="D120" s="5">
        <v>-6.7284583838753687E-3</v>
      </c>
    </row>
    <row r="121" spans="1:5" x14ac:dyDescent="0.35">
      <c r="A121" t="s">
        <v>139</v>
      </c>
      <c r="B121">
        <v>2.7441385603894702E-3</v>
      </c>
      <c r="C121">
        <v>-4.462857690991218E-3</v>
      </c>
      <c r="D121" s="5">
        <v>-1.7187191306018423E-3</v>
      </c>
    </row>
    <row r="122" spans="1:5" x14ac:dyDescent="0.35">
      <c r="A122" t="s">
        <v>140</v>
      </c>
      <c r="B122">
        <v>1.4494301583310748E-2</v>
      </c>
      <c r="C122">
        <v>-7.5949742643761434E-3</v>
      </c>
      <c r="D122">
        <v>6.8993273189352777E-3</v>
      </c>
    </row>
    <row r="123" spans="1:5" x14ac:dyDescent="0.35">
      <c r="A123" t="s">
        <v>141</v>
      </c>
      <c r="B123">
        <v>3.4005455876059666E-2</v>
      </c>
      <c r="C123">
        <v>-1.3472954985452241E-2</v>
      </c>
      <c r="D123">
        <v>2.0532500890611427E-2</v>
      </c>
    </row>
    <row r="124" spans="1:5" x14ac:dyDescent="0.35">
      <c r="A124" t="s">
        <v>142</v>
      </c>
      <c r="B124">
        <v>3.0278423084233286E-2</v>
      </c>
      <c r="C124">
        <v>-8.4377678333484099E-3</v>
      </c>
      <c r="D124">
        <v>2.1840655250882302E-2</v>
      </c>
    </row>
    <row r="125" spans="1:5" x14ac:dyDescent="0.35">
      <c r="A125" t="s">
        <v>143</v>
      </c>
      <c r="B125">
        <v>2.961219642340519E-2</v>
      </c>
      <c r="C125">
        <v>-2.1583450037443463E-3</v>
      </c>
      <c r="D125">
        <v>2.745385141966139E-2</v>
      </c>
    </row>
    <row r="126" spans="1:5" x14ac:dyDescent="0.35">
      <c r="A126" t="s">
        <v>144</v>
      </c>
      <c r="B126">
        <v>1.5333477601878883E-2</v>
      </c>
      <c r="C126">
        <v>1.9365071951628336E-2</v>
      </c>
      <c r="D126">
        <v>3.4698549553505487E-2</v>
      </c>
    </row>
    <row r="127" spans="1:5" x14ac:dyDescent="0.35">
      <c r="A127" t="s">
        <v>145</v>
      </c>
      <c r="B127">
        <v>1.8118410715090322E-2</v>
      </c>
      <c r="C127">
        <v>1.2463799963690734E-2</v>
      </c>
      <c r="D127">
        <v>3.0582210678776311E-2</v>
      </c>
    </row>
    <row r="128" spans="1:5" x14ac:dyDescent="0.35">
      <c r="A128" t="s">
        <v>146</v>
      </c>
      <c r="B128">
        <v>2.5246469197780307E-2</v>
      </c>
      <c r="C128">
        <v>5.1434919286766157E-3</v>
      </c>
      <c r="D128">
        <v>3.0389961126461085E-2</v>
      </c>
    </row>
    <row r="129" spans="1:4" x14ac:dyDescent="0.35">
      <c r="A129" t="s">
        <v>147</v>
      </c>
      <c r="B129">
        <v>1.4340910331761421E-2</v>
      </c>
      <c r="C129">
        <v>1.274785647480388E-2</v>
      </c>
      <c r="D129">
        <v>2.7088766806564024E-2</v>
      </c>
    </row>
    <row r="130" spans="1:4" x14ac:dyDescent="0.35">
      <c r="A130" t="s">
        <v>148</v>
      </c>
      <c r="B130">
        <v>7.7153159095027695E-3</v>
      </c>
      <c r="C130">
        <v>1.2670499671741619E-2</v>
      </c>
      <c r="D130">
        <v>2.0385815581243527E-2</v>
      </c>
    </row>
    <row r="131" spans="1:4" x14ac:dyDescent="0.35">
      <c r="A131" t="s">
        <v>149</v>
      </c>
      <c r="B131">
        <v>-5.6956970376406063E-3</v>
      </c>
      <c r="C131">
        <v>1.7401370762992804E-2</v>
      </c>
      <c r="D131">
        <v>1.1705673725355803E-2</v>
      </c>
    </row>
    <row r="132" spans="1:4" x14ac:dyDescent="0.35">
      <c r="A132" t="s">
        <v>150</v>
      </c>
      <c r="B132">
        <v>-1.2088800310282097E-2</v>
      </c>
      <c r="C132">
        <v>1.9435684416496467E-2</v>
      </c>
      <c r="D132">
        <v>7.3468841062125367E-3</v>
      </c>
    </row>
    <row r="133" spans="1:4" x14ac:dyDescent="0.35">
      <c r="A133" t="s">
        <v>151</v>
      </c>
      <c r="B133">
        <v>-1.4694401914634624E-2</v>
      </c>
      <c r="C133">
        <v>1.316528950101294E-2</v>
      </c>
      <c r="D133">
        <v>-1.5291124136207479E-3</v>
      </c>
    </row>
    <row r="134" spans="1:4" x14ac:dyDescent="0.35">
      <c r="A134" t="s">
        <v>152</v>
      </c>
      <c r="B134">
        <v>-1.4951587395983502E-2</v>
      </c>
      <c r="C134">
        <v>1.9928950642138867E-2</v>
      </c>
      <c r="D134">
        <v>4.9773632461551642E-3</v>
      </c>
    </row>
    <row r="135" spans="1:4" x14ac:dyDescent="0.35">
      <c r="A135" t="s">
        <v>153</v>
      </c>
      <c r="B135">
        <v>-4.2048492433120104E-3</v>
      </c>
      <c r="C135">
        <v>1.1257088898801152E-2</v>
      </c>
      <c r="D135">
        <v>7.0522396554828504E-3</v>
      </c>
    </row>
    <row r="136" spans="1:4" x14ac:dyDescent="0.35">
      <c r="A136" t="s">
        <v>154</v>
      </c>
      <c r="B136">
        <v>6.8044299419636745E-3</v>
      </c>
      <c r="C136">
        <v>5.4943935174457991E-3</v>
      </c>
      <c r="D136">
        <v>1.2298823459406805E-2</v>
      </c>
    </row>
    <row r="137" spans="1:4" x14ac:dyDescent="0.35">
      <c r="A137" t="s">
        <v>155</v>
      </c>
      <c r="B137">
        <v>5.3341181291982941E-3</v>
      </c>
      <c r="C137">
        <v>8.8759010860252827E-3</v>
      </c>
      <c r="D137">
        <v>1.4210019215223468E-2</v>
      </c>
    </row>
    <row r="138" spans="1:4" x14ac:dyDescent="0.35">
      <c r="A138" t="s">
        <v>156</v>
      </c>
      <c r="B138">
        <v>1.7643076693511513E-2</v>
      </c>
      <c r="C138">
        <v>-8.7713223671375285E-3</v>
      </c>
      <c r="D138">
        <v>8.8717543263712173E-3</v>
      </c>
    </row>
    <row r="139" spans="1:4" x14ac:dyDescent="0.35">
      <c r="A139" t="s">
        <v>157</v>
      </c>
      <c r="B139">
        <v>1.0324582824121074E-2</v>
      </c>
      <c r="C139">
        <v>-3.53152260956693E-3</v>
      </c>
      <c r="D139">
        <v>6.7930602145602759E-3</v>
      </c>
    </row>
    <row r="140" spans="1:4" x14ac:dyDescent="0.35">
      <c r="A140" t="s">
        <v>158</v>
      </c>
      <c r="B140">
        <v>-1.2279487096767669E-2</v>
      </c>
      <c r="C140">
        <v>1.1993730873268209E-2</v>
      </c>
      <c r="D140">
        <v>-2.8575622349757968E-4</v>
      </c>
    </row>
    <row r="141" spans="1:4" x14ac:dyDescent="0.35">
      <c r="A141" t="s">
        <v>159</v>
      </c>
      <c r="B141">
        <v>-6.1877356286251985E-3</v>
      </c>
      <c r="C141">
        <v>-3.1658666840265597E-4</v>
      </c>
      <c r="D141">
        <v>-6.5043222970283532E-3</v>
      </c>
    </row>
    <row r="142" spans="1:4" x14ac:dyDescent="0.35">
      <c r="A142" t="s">
        <v>160</v>
      </c>
      <c r="B142">
        <v>-4.5643163101756618E-3</v>
      </c>
      <c r="C142">
        <v>2.1404504023096044E-3</v>
      </c>
      <c r="D142">
        <v>-2.4238659078619218E-3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source</vt:lpstr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 Güney</dc:creator>
  <cp:lastModifiedBy>Celal Güney</cp:lastModifiedBy>
  <dcterms:created xsi:type="dcterms:W3CDTF">2026-07-10T10:36:26Z</dcterms:created>
  <dcterms:modified xsi:type="dcterms:W3CDTF">2026-08-11T15:34:23Z</dcterms:modified>
</cp:coreProperties>
</file>